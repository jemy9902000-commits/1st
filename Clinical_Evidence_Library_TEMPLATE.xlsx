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Library" sheetId="2" state="visible" r:id="rId2"/>
    <sheet name="Summary" sheetId="3" state="visible" r:id="rId3"/>
    <sheet name="Products" sheetId="4" state="visible" r:id="rId4"/>
    <sheet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52514E"/>
      <sz val="10"/>
    </font>
    <font>
      <name val="Arial"/>
      <color rgb="000000FF"/>
      <sz val="10"/>
    </font>
    <font>
      <name val="Arial"/>
      <i val="1"/>
      <color rgb="000000FF"/>
      <sz val="10"/>
    </font>
    <font>
      <name val="Arial"/>
      <b val="1"/>
      <color rgb="001F3A5F"/>
      <sz val="14"/>
    </font>
    <font>
      <name val="Arial"/>
      <b val="1"/>
      <color rgb="00000000"/>
      <sz val="10"/>
    </font>
    <font>
      <name val="Arial"/>
      <b val="1"/>
      <color rgb="001F3A5F"/>
      <sz val="16"/>
    </font>
    <font>
      <name val="Arial"/>
      <color rgb="0052514E"/>
      <sz val="11"/>
    </font>
    <font>
      <name val="Arial"/>
      <b val="1"/>
      <color rgb="001F3A5F"/>
      <sz val="12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7D6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1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1" fontId="2" fillId="0" borderId="1" pivotButton="0" quotePrefix="0" xfId="0"/>
    <xf numFmtId="0" fontId="7" fillId="0" borderId="0" pivotButton="0" quotePrefix="0" xfId="0"/>
    <xf numFmtId="0" fontId="7" fillId="0" borderId="1" pivotButton="0" quotePrefix="0" xfId="0"/>
    <xf numFmtId="0" fontId="4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1F3A5F"/>
      </font>
    </dxf>
    <dxf>
      <font>
        <name val="Arial"/>
        <b val="1"/>
        <color rgb="00B42318"/>
      </font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Tracker</author>
  </authors>
  <commentList>
    <comment ref="Z1" authorId="0" shapeId="0">
      <text>
        <t>Year of publication or presentation. Sort this column to get the list from oldest to newest.</t>
      </text>
    </comment>
    <comment ref="AE1" authorId="0" shapeId="0">
      <text>
        <t>Internal / Confidential rows come from internal company material. Don't share them externally.</t>
      </text>
    </comment>
  </commentList>
</comments>
</file>

<file path=xl/comments/comment2.xml><?xml version="1.0" encoding="utf-8"?>
<comments xmlns="http://schemas.openxmlformats.org/spreadsheetml/2006/main">
  <authors>
    <author>Tracker</author>
  </authors>
  <commentList>
    <comment ref="A1" authorId="0" shapeId="0">
      <text>
        <t>Add competitor products in the empty rows. The Library sheet looks up therapy area, indication, company and Own/Competitor from here.</t>
      </text>
    </comment>
  </commentList>
</comments>
</file>

<file path=xl/tables/table1.xml><?xml version="1.0" encoding="utf-8"?>
<table xmlns="http://schemas.openxmlformats.org/spreadsheetml/2006/main" id="1" name="Library" displayName="Library" ref="A1:AG401" headerRowCount="1">
  <autoFilter ref="A1:AG401"/>
  <tableColumns count="33">
    <tableColumn id="1" name="Product"/>
    <tableColumn id="2" name="Generic Name"/>
    <tableColumn id="3" name="Therapy Area"/>
    <tableColumn id="4" name="Indication"/>
    <tableColumn id="5" name="Company"/>
    <tableColumn id="6" name="Own / Competitor"/>
    <tableColumn id="7" name="Record Type"/>
    <tableColumn id="8" name="Title / Trial Name"/>
    <tableColumn id="9" name="Study Code"/>
    <tableColumn id="10" name="NCT Number"/>
    <tableColumn id="11" name="Phase"/>
    <tableColumn id="12" name="Pivotal"/>
    <tableColumn id="13" name="Study Design"/>
    <tableColumn id="14" name="Population"/>
    <tableColumn id="15" name="Patients (N)"/>
    <tableColumn id="16" name="Countries"/>
    <tableColumn id="17" name="Treatment / Dose"/>
    <tableColumn id="18" name="Duration / Follow-up"/>
    <tableColumn id="19" name="Primary Endpoint"/>
    <tableColumn id="20" name="Other Endpoints"/>
    <tableColumn id="21" name="Key Results"/>
    <tableColumn id="22" name="Safety"/>
    <tableColumn id="23" name="Status"/>
    <tableColumn id="24" name="Start Date"/>
    <tableColumn id="25" name="Publication / Presentation Date"/>
    <tableColumn id="26" name="Year"/>
    <tableColumn id="27" name="Publication Reference"/>
    <tableColumn id="28" name="DOI / PMID"/>
    <tableColumn id="29" name="Key Takeaway"/>
    <tableColumn id="30" name="Source Document"/>
    <tableColumn id="31" name="Confidentiality"/>
    <tableColumn id="32" name="Notes"/>
    <tableColumn id="33" name="Last Verified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Clinical Evidence Library</t>
        </is>
      </c>
    </row>
    <row r="3">
      <c r="B3" s="2" t="inlineStr">
        <is>
          <t>MPS IVA · MPS VI · CLN2 · Achondroplasia · PKU</t>
        </is>
      </c>
    </row>
    <row r="4">
      <c r="B4" s="3" t="n"/>
    </row>
    <row r="5">
      <c r="B5" s="4" t="inlineStr">
        <is>
          <t>How to use</t>
        </is>
      </c>
    </row>
    <row r="6">
      <c r="B6" s="5" t="inlineStr">
        <is>
          <t>1. Library: one row per trial or reference. Pick the Product; generic name, therapy area, indication, company and Own/Competitor fill in by themselves.</t>
        </is>
      </c>
    </row>
    <row r="7">
      <c r="B7" s="5" t="inlineStr">
        <is>
          <t>2. Record Type says what the entry is: clinical trial, extension, natural history, real-world/registry, guideline, expert recommendation, review or internal material.</t>
        </is>
      </c>
    </row>
    <row r="8">
      <c r="B8" s="5" t="inlineStr">
        <is>
          <t>3. Pivotal = Yes marks the registration trials (they show in bold).</t>
        </is>
      </c>
    </row>
    <row r="9">
      <c r="B9" s="5" t="inlineStr">
        <is>
          <t>4. Year drives the timeline. Sort Year from smallest to largest for oldest to newest.</t>
        </is>
      </c>
    </row>
    <row r="10">
      <c r="B10" s="5" t="inlineStr">
        <is>
          <t>5. Confidentiality: rows from internal company documents are flagged in red. Don't share those externally.</t>
        </is>
      </c>
    </row>
    <row r="11">
      <c r="B11" s="5" t="inlineStr">
        <is>
          <t>6. Products: add competitor products in the empty rows before using them in the Library.</t>
        </is>
      </c>
    </row>
    <row r="12">
      <c r="B12" s="3" t="n"/>
    </row>
    <row r="13">
      <c r="B13" s="4" t="inlineStr">
        <is>
          <t>Cell colours</t>
        </is>
      </c>
    </row>
    <row r="14">
      <c r="B14" s="6" t="inlineStr">
        <is>
          <t>Yellow = you fill in</t>
        </is>
      </c>
    </row>
    <row r="15">
      <c r="B15" s="7" t="inlineStr">
        <is>
          <t>Blue-grey = formula, fills in automatically. Don't type over these.</t>
        </is>
      </c>
    </row>
    <row r="16">
      <c r="B16" s="8" t="inlineStr">
        <is>
          <t>Blue text = values entered by hand</t>
        </is>
      </c>
    </row>
    <row r="17">
      <c r="B17" s="3" t="n"/>
    </row>
    <row r="18">
      <c r="B18" s="4" t="inlineStr">
        <is>
          <t>Data sources and checking</t>
        </is>
      </c>
    </row>
    <row r="19">
      <c r="B19" s="5" t="inlineStr">
        <is>
          <t>Every row names the document it was taken from (Source Document). Fields the source did not state are left blank rather than guessed.</t>
        </is>
      </c>
    </row>
    <row r="20">
      <c r="B20" s="5" t="inlineStr">
        <is>
          <t>Fill Last Verified once you have checked a row against ClinicalTrials.gov or the original publication.</t>
        </is>
      </c>
    </row>
    <row r="21">
      <c r="B21" s="3" t="n"/>
    </row>
    <row r="22">
      <c r="B22" s="4" t="inlineStr">
        <is>
          <t>Power BI</t>
        </is>
      </c>
    </row>
    <row r="23">
      <c r="B23" s="5" t="inlineStr">
        <is>
          <t>The Library sheet is an Excel table named 'Library', so it loads straight into Power BI (Get Data &gt; Excel &gt; Library).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22" customWidth="1" min="4" max="4"/>
    <col width="16" customWidth="1" min="5" max="5"/>
    <col width="12" customWidth="1" min="6" max="6"/>
    <col width="18" customWidth="1" min="7" max="7"/>
    <col width="34" customWidth="1" min="8" max="8"/>
    <col width="14" customWidth="1" min="9" max="9"/>
    <col width="14" customWidth="1" min="10" max="10"/>
    <col width="11" customWidth="1" min="11" max="11"/>
    <col width="9" customWidth="1" min="12" max="12"/>
    <col width="26" customWidth="1" min="13" max="13"/>
    <col width="32" customWidth="1" min="14" max="14"/>
    <col width="10" customWidth="1" min="15" max="15"/>
    <col width="16" customWidth="1" min="16" max="16"/>
    <col width="30" customWidth="1" min="17" max="17"/>
    <col width="18" customWidth="1" min="18" max="18"/>
    <col width="32" customWidth="1" min="19" max="19"/>
    <col width="30" customWidth="1" min="20" max="20"/>
    <col width="60" customWidth="1" min="21" max="21"/>
    <col width="36" customWidth="1" min="22" max="22"/>
    <col width="16" customWidth="1" min="23" max="23"/>
    <col width="12" customWidth="1" min="24" max="24"/>
    <col width="14" customWidth="1" min="25" max="25"/>
    <col width="8" customWidth="1" min="26" max="26"/>
    <col width="44" customWidth="1" min="27" max="27"/>
    <col width="24" customWidth="1" min="28" max="28"/>
    <col width="44" customWidth="1" min="29" max="29"/>
    <col width="30" customWidth="1" min="30" max="30"/>
    <col width="14" customWidth="1" min="31" max="31"/>
    <col width="40" customWidth="1" min="32" max="32"/>
    <col width="12" customWidth="1" min="33" max="33"/>
  </cols>
  <sheetData>
    <row r="1" ht="34" customHeight="1">
      <c r="A1" s="9" t="inlineStr">
        <is>
          <t>Product</t>
        </is>
      </c>
      <c r="B1" s="9" t="inlineStr">
        <is>
          <t>Generic Name</t>
        </is>
      </c>
      <c r="C1" s="9" t="inlineStr">
        <is>
          <t>Therapy Area</t>
        </is>
      </c>
      <c r="D1" s="9" t="inlineStr">
        <is>
          <t>Indication</t>
        </is>
      </c>
      <c r="E1" s="9" t="inlineStr">
        <is>
          <t>Company</t>
        </is>
      </c>
      <c r="F1" s="9" t="inlineStr">
        <is>
          <t>Own / Competitor</t>
        </is>
      </c>
      <c r="G1" s="9" t="inlineStr">
        <is>
          <t>Record Type</t>
        </is>
      </c>
      <c r="H1" s="9" t="inlineStr">
        <is>
          <t>Title / Trial Name</t>
        </is>
      </c>
      <c r="I1" s="9" t="inlineStr">
        <is>
          <t>Study Code</t>
        </is>
      </c>
      <c r="J1" s="9" t="inlineStr">
        <is>
          <t>NCT Number</t>
        </is>
      </c>
      <c r="K1" s="9" t="inlineStr">
        <is>
          <t>Phase</t>
        </is>
      </c>
      <c r="L1" s="9" t="inlineStr">
        <is>
          <t>Pivotal</t>
        </is>
      </c>
      <c r="M1" s="9" t="inlineStr">
        <is>
          <t>Study Design</t>
        </is>
      </c>
      <c r="N1" s="9" t="inlineStr">
        <is>
          <t>Population</t>
        </is>
      </c>
      <c r="O1" s="9" t="inlineStr">
        <is>
          <t>Patients (N)</t>
        </is>
      </c>
      <c r="P1" s="9" t="inlineStr">
        <is>
          <t>Countries</t>
        </is>
      </c>
      <c r="Q1" s="9" t="inlineStr">
        <is>
          <t>Treatment / Dose</t>
        </is>
      </c>
      <c r="R1" s="9" t="inlineStr">
        <is>
          <t>Duration / Follow-up</t>
        </is>
      </c>
      <c r="S1" s="9" t="inlineStr">
        <is>
          <t>Primary Endpoint</t>
        </is>
      </c>
      <c r="T1" s="9" t="inlineStr">
        <is>
          <t>Other Endpoints</t>
        </is>
      </c>
      <c r="U1" s="9" t="inlineStr">
        <is>
          <t>Key Results</t>
        </is>
      </c>
      <c r="V1" s="9" t="inlineStr">
        <is>
          <t>Safety</t>
        </is>
      </c>
      <c r="W1" s="9" t="inlineStr">
        <is>
          <t>Status</t>
        </is>
      </c>
      <c r="X1" s="9" t="inlineStr">
        <is>
          <t>Start Date</t>
        </is>
      </c>
      <c r="Y1" s="9" t="inlineStr">
        <is>
          <t>Publication / Presentation Date</t>
        </is>
      </c>
      <c r="Z1" s="9" t="inlineStr">
        <is>
          <t>Year</t>
        </is>
      </c>
      <c r="AA1" s="9" t="inlineStr">
        <is>
          <t>Publication Reference</t>
        </is>
      </c>
      <c r="AB1" s="9" t="inlineStr">
        <is>
          <t>DOI / PMID</t>
        </is>
      </c>
      <c r="AC1" s="9" t="inlineStr">
        <is>
          <t>Key Takeaway</t>
        </is>
      </c>
      <c r="AD1" s="9" t="inlineStr">
        <is>
          <t>Source Document</t>
        </is>
      </c>
      <c r="AE1" s="9" t="inlineStr">
        <is>
          <t>Confidentiality</t>
        </is>
      </c>
      <c r="AF1" s="9" t="inlineStr">
        <is>
          <t>Notes</t>
        </is>
      </c>
      <c r="AG1" s="9" t="inlineStr">
        <is>
          <t>Last Verified</t>
        </is>
      </c>
    </row>
    <row r="2">
      <c r="A2" s="10" t="inlineStr">
        <is>
          <t>Voxzogo</t>
        </is>
      </c>
      <c r="B2" s="11">
        <f>IF($A2="","",IFERROR(INDEX(Products!$B$2:$B$61,MATCH($A2,Products!$A$2:$A$61,0)),"Add to Products"))</f>
        <v/>
      </c>
      <c r="C2" s="11">
        <f>IF($A2="","",IFERROR(INDEX(Products!$C$2:$C$61,MATCH($A2,Products!$A$2:$A$61,0)),"Add to Products"))</f>
        <v/>
      </c>
      <c r="D2" s="11">
        <f>IF($A2="","",IFERROR(INDEX(Products!$D$2:$D$61,MATCH($A2,Products!$A$2:$A$61,0)),"Add to Products"))</f>
        <v/>
      </c>
      <c r="E2" s="11">
        <f>IF($A2="","",IFERROR(INDEX(Products!$E$2:$E$61,MATCH($A2,Products!$A$2:$A$61,0)),"Add to Products"))</f>
        <v/>
      </c>
      <c r="F2" s="11">
        <f>IF($A2="","",IFERROR(INDEX(Products!$F$2:$F$61,MATCH($A2,Products!$A$2:$A$61,0)),"Add to Products"))</f>
        <v/>
      </c>
      <c r="G2" s="10" t="inlineStr">
        <is>
          <t>Clinical trial</t>
        </is>
      </c>
      <c r="H2" s="10" t="inlineStr">
        <is>
          <t>EXAMPLE ROW – replace with your own data</t>
        </is>
      </c>
      <c r="I2" s="10" t="inlineStr">
        <is>
          <t>111-301</t>
        </is>
      </c>
      <c r="J2" s="10" t="n"/>
      <c r="K2" s="10" t="inlineStr">
        <is>
          <t>Phase 3</t>
        </is>
      </c>
      <c r="L2" s="10" t="inlineStr">
        <is>
          <t>Yes</t>
        </is>
      </c>
      <c r="M2" s="10" t="inlineStr">
        <is>
          <t>Randomized, double-blind, placebo-controlled</t>
        </is>
      </c>
      <c r="N2" s="10" t="inlineStr">
        <is>
          <t>Children with achondroplasia, 5 to &lt;18 years</t>
        </is>
      </c>
      <c r="O2" s="12" t="n">
        <v>121</v>
      </c>
      <c r="P2" s="10" t="n"/>
      <c r="Q2" s="10" t="n"/>
      <c r="R2" s="10" t="n"/>
      <c r="S2" s="10" t="inlineStr">
        <is>
          <t>Change in annualized growth velocity at week 52</t>
        </is>
      </c>
      <c r="T2" s="10" t="n"/>
      <c r="U2" s="10" t="n"/>
      <c r="V2" s="10" t="n"/>
      <c r="W2" s="10" t="inlineStr">
        <is>
          <t>Completed</t>
        </is>
      </c>
      <c r="X2" s="13" t="n"/>
      <c r="Y2" s="13" t="n"/>
      <c r="Z2" s="14" t="n">
        <v>2020</v>
      </c>
      <c r="AA2" s="10" t="n"/>
      <c r="AB2" s="10" t="n"/>
      <c r="AC2" s="10" t="n"/>
      <c r="AD2" s="10" t="n"/>
      <c r="AE2" s="10" t="inlineStr">
        <is>
          <t>Public</t>
        </is>
      </c>
      <c r="AF2" s="10" t="inlineStr">
        <is>
          <t>Shows the expected format. Delete this row once you add real entries.</t>
        </is>
      </c>
      <c r="AG2" s="13" t="n"/>
    </row>
    <row r="3">
      <c r="A3" s="10" t="n"/>
      <c r="B3" s="11">
        <f>IF($A3="","",IFERROR(INDEX(Products!$B$2:$B$61,MATCH($A3,Products!$A$2:$A$61,0)),"Add to Products"))</f>
        <v/>
      </c>
      <c r="C3" s="11">
        <f>IF($A3="","",IFERROR(INDEX(Products!$C$2:$C$61,MATCH($A3,Products!$A$2:$A$61,0)),"Add to Products"))</f>
        <v/>
      </c>
      <c r="D3" s="11">
        <f>IF($A3="","",IFERROR(INDEX(Products!$D$2:$D$61,MATCH($A3,Products!$A$2:$A$61,0)),"Add to Products"))</f>
        <v/>
      </c>
      <c r="E3" s="11">
        <f>IF($A3="","",IFERROR(INDEX(Products!$E$2:$E$61,MATCH($A3,Products!$A$2:$A$61,0)),"Add to Products"))</f>
        <v/>
      </c>
      <c r="F3" s="11">
        <f>IF($A3="","",IFERROR(INDEX(Products!$F$2:$F$61,MATCH($A3,Products!$A$2:$A$61,0)),"Add to Products"))</f>
        <v/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2" t="n"/>
      <c r="P3" s="10" t="n"/>
      <c r="Q3" s="10" t="n"/>
      <c r="R3" s="10" t="n"/>
      <c r="S3" s="10" t="n"/>
      <c r="T3" s="10" t="n"/>
      <c r="U3" s="10" t="n"/>
      <c r="V3" s="10" t="n"/>
      <c r="W3" s="10" t="n"/>
      <c r="X3" s="13" t="n"/>
      <c r="Y3" s="13" t="n"/>
      <c r="Z3" s="14" t="n"/>
      <c r="AA3" s="10" t="n"/>
      <c r="AB3" s="10" t="n"/>
      <c r="AC3" s="10" t="n"/>
      <c r="AD3" s="10" t="n"/>
      <c r="AE3" s="10" t="n"/>
      <c r="AF3" s="10" t="n"/>
      <c r="AG3" s="13" t="n"/>
    </row>
    <row r="4">
      <c r="A4" s="10" t="n"/>
      <c r="B4" s="11">
        <f>IF($A4="","",IFERROR(INDEX(Products!$B$2:$B$61,MATCH($A4,Products!$A$2:$A$61,0)),"Add to Products"))</f>
        <v/>
      </c>
      <c r="C4" s="11">
        <f>IF($A4="","",IFERROR(INDEX(Products!$C$2:$C$61,MATCH($A4,Products!$A$2:$A$61,0)),"Add to Products"))</f>
        <v/>
      </c>
      <c r="D4" s="11">
        <f>IF($A4="","",IFERROR(INDEX(Products!$D$2:$D$61,MATCH($A4,Products!$A$2:$A$61,0)),"Add to Products"))</f>
        <v/>
      </c>
      <c r="E4" s="11">
        <f>IF($A4="","",IFERROR(INDEX(Products!$E$2:$E$61,MATCH($A4,Products!$A$2:$A$61,0)),"Add to Products"))</f>
        <v/>
      </c>
      <c r="F4" s="11">
        <f>IF($A4="","",IFERROR(INDEX(Products!$F$2:$F$61,MATCH($A4,Products!$A$2:$A$61,0)),"Add to Products"))</f>
        <v/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2" t="n"/>
      <c r="P4" s="10" t="n"/>
      <c r="Q4" s="10" t="n"/>
      <c r="R4" s="10" t="n"/>
      <c r="S4" s="10" t="n"/>
      <c r="T4" s="10" t="n"/>
      <c r="U4" s="10" t="n"/>
      <c r="V4" s="10" t="n"/>
      <c r="W4" s="10" t="n"/>
      <c r="X4" s="13" t="n"/>
      <c r="Y4" s="13" t="n"/>
      <c r="Z4" s="14" t="n"/>
      <c r="AA4" s="10" t="n"/>
      <c r="AB4" s="10" t="n"/>
      <c r="AC4" s="10" t="n"/>
      <c r="AD4" s="10" t="n"/>
      <c r="AE4" s="10" t="n"/>
      <c r="AF4" s="10" t="n"/>
      <c r="AG4" s="13" t="n"/>
    </row>
    <row r="5">
      <c r="A5" s="10" t="n"/>
      <c r="B5" s="11">
        <f>IF($A5="","",IFERROR(INDEX(Products!$B$2:$B$61,MATCH($A5,Products!$A$2:$A$61,0)),"Add to Products"))</f>
        <v/>
      </c>
      <c r="C5" s="11">
        <f>IF($A5="","",IFERROR(INDEX(Products!$C$2:$C$61,MATCH($A5,Products!$A$2:$A$61,0)),"Add to Products"))</f>
        <v/>
      </c>
      <c r="D5" s="11">
        <f>IF($A5="","",IFERROR(INDEX(Products!$D$2:$D$61,MATCH($A5,Products!$A$2:$A$61,0)),"Add to Products"))</f>
        <v/>
      </c>
      <c r="E5" s="11">
        <f>IF($A5="","",IFERROR(INDEX(Products!$E$2:$E$61,MATCH($A5,Products!$A$2:$A$61,0)),"Add to Products"))</f>
        <v/>
      </c>
      <c r="F5" s="11">
        <f>IF($A5="","",IFERROR(INDEX(Products!$F$2:$F$61,MATCH($A5,Products!$A$2:$A$61,0)),"Add to Products"))</f>
        <v/>
      </c>
      <c r="G5" s="10" t="n"/>
      <c r="H5" s="10" t="n"/>
      <c r="I5" s="10" t="n"/>
      <c r="J5" s="10" t="n"/>
      <c r="K5" s="10" t="n"/>
      <c r="L5" s="10" t="n"/>
      <c r="M5" s="10" t="n"/>
      <c r="N5" s="10" t="n"/>
      <c r="O5" s="12" t="n"/>
      <c r="P5" s="10" t="n"/>
      <c r="Q5" s="10" t="n"/>
      <c r="R5" s="10" t="n"/>
      <c r="S5" s="10" t="n"/>
      <c r="T5" s="10" t="n"/>
      <c r="U5" s="10" t="n"/>
      <c r="V5" s="10" t="n"/>
      <c r="W5" s="10" t="n"/>
      <c r="X5" s="13" t="n"/>
      <c r="Y5" s="13" t="n"/>
      <c r="Z5" s="14" t="n"/>
      <c r="AA5" s="10" t="n"/>
      <c r="AB5" s="10" t="n"/>
      <c r="AC5" s="10" t="n"/>
      <c r="AD5" s="10" t="n"/>
      <c r="AE5" s="10" t="n"/>
      <c r="AF5" s="10" t="n"/>
      <c r="AG5" s="13" t="n"/>
    </row>
    <row r="6">
      <c r="A6" s="10" t="n"/>
      <c r="B6" s="11">
        <f>IF($A6="","",IFERROR(INDEX(Products!$B$2:$B$61,MATCH($A6,Products!$A$2:$A$61,0)),"Add to Products"))</f>
        <v/>
      </c>
      <c r="C6" s="11">
        <f>IF($A6="","",IFERROR(INDEX(Products!$C$2:$C$61,MATCH($A6,Products!$A$2:$A$61,0)),"Add to Products"))</f>
        <v/>
      </c>
      <c r="D6" s="11">
        <f>IF($A6="","",IFERROR(INDEX(Products!$D$2:$D$61,MATCH($A6,Products!$A$2:$A$61,0)),"Add to Products"))</f>
        <v/>
      </c>
      <c r="E6" s="11">
        <f>IF($A6="","",IFERROR(INDEX(Products!$E$2:$E$61,MATCH($A6,Products!$A$2:$A$61,0)),"Add to Products"))</f>
        <v/>
      </c>
      <c r="F6" s="11">
        <f>IF($A6="","",IFERROR(INDEX(Products!$F$2:$F$61,MATCH($A6,Products!$A$2:$A$61,0)),"Add to Products"))</f>
        <v/>
      </c>
      <c r="G6" s="10" t="n"/>
      <c r="H6" s="10" t="n"/>
      <c r="I6" s="10" t="n"/>
      <c r="J6" s="10" t="n"/>
      <c r="K6" s="10" t="n"/>
      <c r="L6" s="10" t="n"/>
      <c r="M6" s="10" t="n"/>
      <c r="N6" s="10" t="n"/>
      <c r="O6" s="12" t="n"/>
      <c r="P6" s="10" t="n"/>
      <c r="Q6" s="10" t="n"/>
      <c r="R6" s="10" t="n"/>
      <c r="S6" s="10" t="n"/>
      <c r="T6" s="10" t="n"/>
      <c r="U6" s="10" t="n"/>
      <c r="V6" s="10" t="n"/>
      <c r="W6" s="10" t="n"/>
      <c r="X6" s="13" t="n"/>
      <c r="Y6" s="13" t="n"/>
      <c r="Z6" s="14" t="n"/>
      <c r="AA6" s="10" t="n"/>
      <c r="AB6" s="10" t="n"/>
      <c r="AC6" s="10" t="n"/>
      <c r="AD6" s="10" t="n"/>
      <c r="AE6" s="10" t="n"/>
      <c r="AF6" s="10" t="n"/>
      <c r="AG6" s="13" t="n"/>
    </row>
    <row r="7">
      <c r="A7" s="10" t="n"/>
      <c r="B7" s="11">
        <f>IF($A7="","",IFERROR(INDEX(Products!$B$2:$B$61,MATCH($A7,Products!$A$2:$A$61,0)),"Add to Products"))</f>
        <v/>
      </c>
      <c r="C7" s="11">
        <f>IF($A7="","",IFERROR(INDEX(Products!$C$2:$C$61,MATCH($A7,Products!$A$2:$A$61,0)),"Add to Products"))</f>
        <v/>
      </c>
      <c r="D7" s="11">
        <f>IF($A7="","",IFERROR(INDEX(Products!$D$2:$D$61,MATCH($A7,Products!$A$2:$A$61,0)),"Add to Products"))</f>
        <v/>
      </c>
      <c r="E7" s="11">
        <f>IF($A7="","",IFERROR(INDEX(Products!$E$2:$E$61,MATCH($A7,Products!$A$2:$A$61,0)),"Add to Products"))</f>
        <v/>
      </c>
      <c r="F7" s="11">
        <f>IF($A7="","",IFERROR(INDEX(Products!$F$2:$F$61,MATCH($A7,Products!$A$2:$A$61,0)),"Add to Products"))</f>
        <v/>
      </c>
      <c r="G7" s="10" t="n"/>
      <c r="H7" s="10" t="n"/>
      <c r="I7" s="10" t="n"/>
      <c r="J7" s="10" t="n"/>
      <c r="K7" s="10" t="n"/>
      <c r="L7" s="10" t="n"/>
      <c r="M7" s="10" t="n"/>
      <c r="N7" s="10" t="n"/>
      <c r="O7" s="12" t="n"/>
      <c r="P7" s="10" t="n"/>
      <c r="Q7" s="10" t="n"/>
      <c r="R7" s="10" t="n"/>
      <c r="S7" s="10" t="n"/>
      <c r="T7" s="10" t="n"/>
      <c r="U7" s="10" t="n"/>
      <c r="V7" s="10" t="n"/>
      <c r="W7" s="10" t="n"/>
      <c r="X7" s="13" t="n"/>
      <c r="Y7" s="13" t="n"/>
      <c r="Z7" s="14" t="n"/>
      <c r="AA7" s="10" t="n"/>
      <c r="AB7" s="10" t="n"/>
      <c r="AC7" s="10" t="n"/>
      <c r="AD7" s="10" t="n"/>
      <c r="AE7" s="10" t="n"/>
      <c r="AF7" s="10" t="n"/>
      <c r="AG7" s="13" t="n"/>
    </row>
    <row r="8">
      <c r="A8" s="10" t="n"/>
      <c r="B8" s="11">
        <f>IF($A8="","",IFERROR(INDEX(Products!$B$2:$B$61,MATCH($A8,Products!$A$2:$A$61,0)),"Add to Products"))</f>
        <v/>
      </c>
      <c r="C8" s="11">
        <f>IF($A8="","",IFERROR(INDEX(Products!$C$2:$C$61,MATCH($A8,Products!$A$2:$A$61,0)),"Add to Products"))</f>
        <v/>
      </c>
      <c r="D8" s="11">
        <f>IF($A8="","",IFERROR(INDEX(Products!$D$2:$D$61,MATCH($A8,Products!$A$2:$A$61,0)),"Add to Products"))</f>
        <v/>
      </c>
      <c r="E8" s="11">
        <f>IF($A8="","",IFERROR(INDEX(Products!$E$2:$E$61,MATCH($A8,Products!$A$2:$A$61,0)),"Add to Products"))</f>
        <v/>
      </c>
      <c r="F8" s="11">
        <f>IF($A8="","",IFERROR(INDEX(Products!$F$2:$F$61,MATCH($A8,Products!$A$2:$A$61,0)),"Add to Products"))</f>
        <v/>
      </c>
      <c r="G8" s="10" t="n"/>
      <c r="H8" s="10" t="n"/>
      <c r="I8" s="10" t="n"/>
      <c r="J8" s="10" t="n"/>
      <c r="K8" s="10" t="n"/>
      <c r="L8" s="10" t="n"/>
      <c r="M8" s="10" t="n"/>
      <c r="N8" s="10" t="n"/>
      <c r="O8" s="12" t="n"/>
      <c r="P8" s="10" t="n"/>
      <c r="Q8" s="10" t="n"/>
      <c r="R8" s="10" t="n"/>
      <c r="S8" s="10" t="n"/>
      <c r="T8" s="10" t="n"/>
      <c r="U8" s="10" t="n"/>
      <c r="V8" s="10" t="n"/>
      <c r="W8" s="10" t="n"/>
      <c r="X8" s="13" t="n"/>
      <c r="Y8" s="13" t="n"/>
      <c r="Z8" s="14" t="n"/>
      <c r="AA8" s="10" t="n"/>
      <c r="AB8" s="10" t="n"/>
      <c r="AC8" s="10" t="n"/>
      <c r="AD8" s="10" t="n"/>
      <c r="AE8" s="10" t="n"/>
      <c r="AF8" s="10" t="n"/>
      <c r="AG8" s="13" t="n"/>
    </row>
    <row r="9">
      <c r="A9" s="10" t="n"/>
      <c r="B9" s="11">
        <f>IF($A9="","",IFERROR(INDEX(Products!$B$2:$B$61,MATCH($A9,Products!$A$2:$A$61,0)),"Add to Products"))</f>
        <v/>
      </c>
      <c r="C9" s="11">
        <f>IF($A9="","",IFERROR(INDEX(Products!$C$2:$C$61,MATCH($A9,Products!$A$2:$A$61,0)),"Add to Products"))</f>
        <v/>
      </c>
      <c r="D9" s="11">
        <f>IF($A9="","",IFERROR(INDEX(Products!$D$2:$D$61,MATCH($A9,Products!$A$2:$A$61,0)),"Add to Products"))</f>
        <v/>
      </c>
      <c r="E9" s="11">
        <f>IF($A9="","",IFERROR(INDEX(Products!$E$2:$E$61,MATCH($A9,Products!$A$2:$A$61,0)),"Add to Products"))</f>
        <v/>
      </c>
      <c r="F9" s="11">
        <f>IF($A9="","",IFERROR(INDEX(Products!$F$2:$F$61,MATCH($A9,Products!$A$2:$A$61,0)),"Add to Products"))</f>
        <v/>
      </c>
      <c r="G9" s="10" t="n"/>
      <c r="H9" s="10" t="n"/>
      <c r="I9" s="10" t="n"/>
      <c r="J9" s="10" t="n"/>
      <c r="K9" s="10" t="n"/>
      <c r="L9" s="10" t="n"/>
      <c r="M9" s="10" t="n"/>
      <c r="N9" s="10" t="n"/>
      <c r="O9" s="12" t="n"/>
      <c r="P9" s="10" t="n"/>
      <c r="Q9" s="10" t="n"/>
      <c r="R9" s="10" t="n"/>
      <c r="S9" s="10" t="n"/>
      <c r="T9" s="10" t="n"/>
      <c r="U9" s="10" t="n"/>
      <c r="V9" s="10" t="n"/>
      <c r="W9" s="10" t="n"/>
      <c r="X9" s="13" t="n"/>
      <c r="Y9" s="13" t="n"/>
      <c r="Z9" s="14" t="n"/>
      <c r="AA9" s="10" t="n"/>
      <c r="AB9" s="10" t="n"/>
      <c r="AC9" s="10" t="n"/>
      <c r="AD9" s="10" t="n"/>
      <c r="AE9" s="10" t="n"/>
      <c r="AF9" s="10" t="n"/>
      <c r="AG9" s="13" t="n"/>
    </row>
    <row r="10">
      <c r="A10" s="10" t="n"/>
      <c r="B10" s="11">
        <f>IF($A10="","",IFERROR(INDEX(Products!$B$2:$B$61,MATCH($A10,Products!$A$2:$A$61,0)),"Add to Products"))</f>
        <v/>
      </c>
      <c r="C10" s="11">
        <f>IF($A10="","",IFERROR(INDEX(Products!$C$2:$C$61,MATCH($A10,Products!$A$2:$A$61,0)),"Add to Products"))</f>
        <v/>
      </c>
      <c r="D10" s="11">
        <f>IF($A10="","",IFERROR(INDEX(Products!$D$2:$D$61,MATCH($A10,Products!$A$2:$A$61,0)),"Add to Products"))</f>
        <v/>
      </c>
      <c r="E10" s="11">
        <f>IF($A10="","",IFERROR(INDEX(Products!$E$2:$E$61,MATCH($A10,Products!$A$2:$A$61,0)),"Add to Products"))</f>
        <v/>
      </c>
      <c r="F10" s="11">
        <f>IF($A10="","",IFERROR(INDEX(Products!$F$2:$F$61,MATCH($A10,Products!$A$2:$A$61,0)),"Add to Products"))</f>
        <v/>
      </c>
      <c r="G10" s="10" t="n"/>
      <c r="H10" s="10" t="n"/>
      <c r="I10" s="10" t="n"/>
      <c r="J10" s="10" t="n"/>
      <c r="K10" s="10" t="n"/>
      <c r="L10" s="10" t="n"/>
      <c r="M10" s="10" t="n"/>
      <c r="N10" s="10" t="n"/>
      <c r="O10" s="12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3" t="n"/>
      <c r="Y10" s="13" t="n"/>
      <c r="Z10" s="14" t="n"/>
      <c r="AA10" s="10" t="n"/>
      <c r="AB10" s="10" t="n"/>
      <c r="AC10" s="10" t="n"/>
      <c r="AD10" s="10" t="n"/>
      <c r="AE10" s="10" t="n"/>
      <c r="AF10" s="10" t="n"/>
      <c r="AG10" s="13" t="n"/>
    </row>
    <row r="11">
      <c r="A11" s="10" t="n"/>
      <c r="B11" s="11">
        <f>IF($A11="","",IFERROR(INDEX(Products!$B$2:$B$61,MATCH($A11,Products!$A$2:$A$61,0)),"Add to Products"))</f>
        <v/>
      </c>
      <c r="C11" s="11">
        <f>IF($A11="","",IFERROR(INDEX(Products!$C$2:$C$61,MATCH($A11,Products!$A$2:$A$61,0)),"Add to Products"))</f>
        <v/>
      </c>
      <c r="D11" s="11">
        <f>IF($A11="","",IFERROR(INDEX(Products!$D$2:$D$61,MATCH($A11,Products!$A$2:$A$61,0)),"Add to Products"))</f>
        <v/>
      </c>
      <c r="E11" s="11">
        <f>IF($A11="","",IFERROR(INDEX(Products!$E$2:$E$61,MATCH($A11,Products!$A$2:$A$61,0)),"Add to Products"))</f>
        <v/>
      </c>
      <c r="F11" s="11">
        <f>IF($A11="","",IFERROR(INDEX(Products!$F$2:$F$61,MATCH($A11,Products!$A$2:$A$61,0)),"Add to Products"))</f>
        <v/>
      </c>
      <c r="G11" s="10" t="n"/>
      <c r="H11" s="10" t="n"/>
      <c r="I11" s="10" t="n"/>
      <c r="J11" s="10" t="n"/>
      <c r="K11" s="10" t="n"/>
      <c r="L11" s="10" t="n"/>
      <c r="M11" s="10" t="n"/>
      <c r="N11" s="10" t="n"/>
      <c r="O11" s="12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3" t="n"/>
      <c r="Y11" s="13" t="n"/>
      <c r="Z11" s="14" t="n"/>
      <c r="AA11" s="10" t="n"/>
      <c r="AB11" s="10" t="n"/>
      <c r="AC11" s="10" t="n"/>
      <c r="AD11" s="10" t="n"/>
      <c r="AE11" s="10" t="n"/>
      <c r="AF11" s="10" t="n"/>
      <c r="AG11" s="13" t="n"/>
    </row>
    <row r="12">
      <c r="A12" s="10" t="n"/>
      <c r="B12" s="11">
        <f>IF($A12="","",IFERROR(INDEX(Products!$B$2:$B$61,MATCH($A12,Products!$A$2:$A$61,0)),"Add to Products"))</f>
        <v/>
      </c>
      <c r="C12" s="11">
        <f>IF($A12="","",IFERROR(INDEX(Products!$C$2:$C$61,MATCH($A12,Products!$A$2:$A$61,0)),"Add to Products"))</f>
        <v/>
      </c>
      <c r="D12" s="11">
        <f>IF($A12="","",IFERROR(INDEX(Products!$D$2:$D$61,MATCH($A12,Products!$A$2:$A$61,0)),"Add to Products"))</f>
        <v/>
      </c>
      <c r="E12" s="11">
        <f>IF($A12="","",IFERROR(INDEX(Products!$E$2:$E$61,MATCH($A12,Products!$A$2:$A$61,0)),"Add to Products"))</f>
        <v/>
      </c>
      <c r="F12" s="11">
        <f>IF($A12="","",IFERROR(INDEX(Products!$F$2:$F$61,MATCH($A12,Products!$A$2:$A$61,0)),"Add to Products"))</f>
        <v/>
      </c>
      <c r="G12" s="10" t="n"/>
      <c r="H12" s="10" t="n"/>
      <c r="I12" s="10" t="n"/>
      <c r="J12" s="10" t="n"/>
      <c r="K12" s="10" t="n"/>
      <c r="L12" s="10" t="n"/>
      <c r="M12" s="10" t="n"/>
      <c r="N12" s="10" t="n"/>
      <c r="O12" s="12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3" t="n"/>
      <c r="Y12" s="13" t="n"/>
      <c r="Z12" s="14" t="n"/>
      <c r="AA12" s="10" t="n"/>
      <c r="AB12" s="10" t="n"/>
      <c r="AC12" s="10" t="n"/>
      <c r="AD12" s="10" t="n"/>
      <c r="AE12" s="10" t="n"/>
      <c r="AF12" s="10" t="n"/>
      <c r="AG12" s="13" t="n"/>
    </row>
    <row r="13">
      <c r="A13" s="10" t="n"/>
      <c r="B13" s="11">
        <f>IF($A13="","",IFERROR(INDEX(Products!$B$2:$B$61,MATCH($A13,Products!$A$2:$A$61,0)),"Add to Products"))</f>
        <v/>
      </c>
      <c r="C13" s="11">
        <f>IF($A13="","",IFERROR(INDEX(Products!$C$2:$C$61,MATCH($A13,Products!$A$2:$A$61,0)),"Add to Products"))</f>
        <v/>
      </c>
      <c r="D13" s="11">
        <f>IF($A13="","",IFERROR(INDEX(Products!$D$2:$D$61,MATCH($A13,Products!$A$2:$A$61,0)),"Add to Products"))</f>
        <v/>
      </c>
      <c r="E13" s="11">
        <f>IF($A13="","",IFERROR(INDEX(Products!$E$2:$E$61,MATCH($A13,Products!$A$2:$A$61,0)),"Add to Products"))</f>
        <v/>
      </c>
      <c r="F13" s="11">
        <f>IF($A13="","",IFERROR(INDEX(Products!$F$2:$F$61,MATCH($A13,Products!$A$2:$A$61,0)),"Add to Products"))</f>
        <v/>
      </c>
      <c r="G13" s="10" t="n"/>
      <c r="H13" s="10" t="n"/>
      <c r="I13" s="10" t="n"/>
      <c r="J13" s="10" t="n"/>
      <c r="K13" s="10" t="n"/>
      <c r="L13" s="10" t="n"/>
      <c r="M13" s="10" t="n"/>
      <c r="N13" s="10" t="n"/>
      <c r="O13" s="12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3" t="n"/>
      <c r="Y13" s="13" t="n"/>
      <c r="Z13" s="14" t="n"/>
      <c r="AA13" s="10" t="n"/>
      <c r="AB13" s="10" t="n"/>
      <c r="AC13" s="10" t="n"/>
      <c r="AD13" s="10" t="n"/>
      <c r="AE13" s="10" t="n"/>
      <c r="AF13" s="10" t="n"/>
      <c r="AG13" s="13" t="n"/>
    </row>
    <row r="14">
      <c r="A14" s="10" t="n"/>
      <c r="B14" s="11">
        <f>IF($A14="","",IFERROR(INDEX(Products!$B$2:$B$61,MATCH($A14,Products!$A$2:$A$61,0)),"Add to Products"))</f>
        <v/>
      </c>
      <c r="C14" s="11">
        <f>IF($A14="","",IFERROR(INDEX(Products!$C$2:$C$61,MATCH($A14,Products!$A$2:$A$61,0)),"Add to Products"))</f>
        <v/>
      </c>
      <c r="D14" s="11">
        <f>IF($A14="","",IFERROR(INDEX(Products!$D$2:$D$61,MATCH($A14,Products!$A$2:$A$61,0)),"Add to Products"))</f>
        <v/>
      </c>
      <c r="E14" s="11">
        <f>IF($A14="","",IFERROR(INDEX(Products!$E$2:$E$61,MATCH($A14,Products!$A$2:$A$61,0)),"Add to Products"))</f>
        <v/>
      </c>
      <c r="F14" s="11">
        <f>IF($A14="","",IFERROR(INDEX(Products!$F$2:$F$61,MATCH($A14,Products!$A$2:$A$61,0)),"Add to Products"))</f>
        <v/>
      </c>
      <c r="G14" s="10" t="n"/>
      <c r="H14" s="10" t="n"/>
      <c r="I14" s="10" t="n"/>
      <c r="J14" s="10" t="n"/>
      <c r="K14" s="10" t="n"/>
      <c r="L14" s="10" t="n"/>
      <c r="M14" s="10" t="n"/>
      <c r="N14" s="10" t="n"/>
      <c r="O14" s="12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3" t="n"/>
      <c r="Y14" s="13" t="n"/>
      <c r="Z14" s="14" t="n"/>
      <c r="AA14" s="10" t="n"/>
      <c r="AB14" s="10" t="n"/>
      <c r="AC14" s="10" t="n"/>
      <c r="AD14" s="10" t="n"/>
      <c r="AE14" s="10" t="n"/>
      <c r="AF14" s="10" t="n"/>
      <c r="AG14" s="13" t="n"/>
    </row>
    <row r="15">
      <c r="A15" s="10" t="n"/>
      <c r="B15" s="11">
        <f>IF($A15="","",IFERROR(INDEX(Products!$B$2:$B$61,MATCH($A15,Products!$A$2:$A$61,0)),"Add to Products"))</f>
        <v/>
      </c>
      <c r="C15" s="11">
        <f>IF($A15="","",IFERROR(INDEX(Products!$C$2:$C$61,MATCH($A15,Products!$A$2:$A$61,0)),"Add to Products"))</f>
        <v/>
      </c>
      <c r="D15" s="11">
        <f>IF($A15="","",IFERROR(INDEX(Products!$D$2:$D$61,MATCH($A15,Products!$A$2:$A$61,0)),"Add to Products"))</f>
        <v/>
      </c>
      <c r="E15" s="11">
        <f>IF($A15="","",IFERROR(INDEX(Products!$E$2:$E$61,MATCH($A15,Products!$A$2:$A$61,0)),"Add to Products"))</f>
        <v/>
      </c>
      <c r="F15" s="11">
        <f>IF($A15="","",IFERROR(INDEX(Products!$F$2:$F$61,MATCH($A15,Products!$A$2:$A$61,0)),"Add to Products"))</f>
        <v/>
      </c>
      <c r="G15" s="10" t="n"/>
      <c r="H15" s="10" t="n"/>
      <c r="I15" s="10" t="n"/>
      <c r="J15" s="10" t="n"/>
      <c r="K15" s="10" t="n"/>
      <c r="L15" s="10" t="n"/>
      <c r="M15" s="10" t="n"/>
      <c r="N15" s="10" t="n"/>
      <c r="O15" s="12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3" t="n"/>
      <c r="Y15" s="13" t="n"/>
      <c r="Z15" s="14" t="n"/>
      <c r="AA15" s="10" t="n"/>
      <c r="AB15" s="10" t="n"/>
      <c r="AC15" s="10" t="n"/>
      <c r="AD15" s="10" t="n"/>
      <c r="AE15" s="10" t="n"/>
      <c r="AF15" s="10" t="n"/>
      <c r="AG15" s="13" t="n"/>
    </row>
    <row r="16">
      <c r="A16" s="10" t="n"/>
      <c r="B16" s="11">
        <f>IF($A16="","",IFERROR(INDEX(Products!$B$2:$B$61,MATCH($A16,Products!$A$2:$A$61,0)),"Add to Products"))</f>
        <v/>
      </c>
      <c r="C16" s="11">
        <f>IF($A16="","",IFERROR(INDEX(Products!$C$2:$C$61,MATCH($A16,Products!$A$2:$A$61,0)),"Add to Products"))</f>
        <v/>
      </c>
      <c r="D16" s="11">
        <f>IF($A16="","",IFERROR(INDEX(Products!$D$2:$D$61,MATCH($A16,Products!$A$2:$A$61,0)),"Add to Products"))</f>
        <v/>
      </c>
      <c r="E16" s="11">
        <f>IF($A16="","",IFERROR(INDEX(Products!$E$2:$E$61,MATCH($A16,Products!$A$2:$A$61,0)),"Add to Products"))</f>
        <v/>
      </c>
      <c r="F16" s="11">
        <f>IF($A16="","",IFERROR(INDEX(Products!$F$2:$F$61,MATCH($A16,Products!$A$2:$A$61,0)),"Add to Products"))</f>
        <v/>
      </c>
      <c r="G16" s="10" t="n"/>
      <c r="H16" s="10" t="n"/>
      <c r="I16" s="10" t="n"/>
      <c r="J16" s="10" t="n"/>
      <c r="K16" s="10" t="n"/>
      <c r="L16" s="10" t="n"/>
      <c r="M16" s="10" t="n"/>
      <c r="N16" s="10" t="n"/>
      <c r="O16" s="12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3" t="n"/>
      <c r="Y16" s="13" t="n"/>
      <c r="Z16" s="14" t="n"/>
      <c r="AA16" s="10" t="n"/>
      <c r="AB16" s="10" t="n"/>
      <c r="AC16" s="10" t="n"/>
      <c r="AD16" s="10" t="n"/>
      <c r="AE16" s="10" t="n"/>
      <c r="AF16" s="10" t="n"/>
      <c r="AG16" s="13" t="n"/>
    </row>
    <row r="17">
      <c r="A17" s="10" t="n"/>
      <c r="B17" s="11">
        <f>IF($A17="","",IFERROR(INDEX(Products!$B$2:$B$61,MATCH($A17,Products!$A$2:$A$61,0)),"Add to Products"))</f>
        <v/>
      </c>
      <c r="C17" s="11">
        <f>IF($A17="","",IFERROR(INDEX(Products!$C$2:$C$61,MATCH($A17,Products!$A$2:$A$61,0)),"Add to Products"))</f>
        <v/>
      </c>
      <c r="D17" s="11">
        <f>IF($A17="","",IFERROR(INDEX(Products!$D$2:$D$61,MATCH($A17,Products!$A$2:$A$61,0)),"Add to Products"))</f>
        <v/>
      </c>
      <c r="E17" s="11">
        <f>IF($A17="","",IFERROR(INDEX(Products!$E$2:$E$61,MATCH($A17,Products!$A$2:$A$61,0)),"Add to Products"))</f>
        <v/>
      </c>
      <c r="F17" s="11">
        <f>IF($A17="","",IFERROR(INDEX(Products!$F$2:$F$61,MATCH($A17,Products!$A$2:$A$61,0)),"Add to Products"))</f>
        <v/>
      </c>
      <c r="G17" s="10" t="n"/>
      <c r="H17" s="10" t="n"/>
      <c r="I17" s="10" t="n"/>
      <c r="J17" s="10" t="n"/>
      <c r="K17" s="10" t="n"/>
      <c r="L17" s="10" t="n"/>
      <c r="M17" s="10" t="n"/>
      <c r="N17" s="10" t="n"/>
      <c r="O17" s="12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3" t="n"/>
      <c r="Y17" s="13" t="n"/>
      <c r="Z17" s="14" t="n"/>
      <c r="AA17" s="10" t="n"/>
      <c r="AB17" s="10" t="n"/>
      <c r="AC17" s="10" t="n"/>
      <c r="AD17" s="10" t="n"/>
      <c r="AE17" s="10" t="n"/>
      <c r="AF17" s="10" t="n"/>
      <c r="AG17" s="13" t="n"/>
    </row>
    <row r="18">
      <c r="A18" s="10" t="n"/>
      <c r="B18" s="11">
        <f>IF($A18="","",IFERROR(INDEX(Products!$B$2:$B$61,MATCH($A18,Products!$A$2:$A$61,0)),"Add to Products"))</f>
        <v/>
      </c>
      <c r="C18" s="11">
        <f>IF($A18="","",IFERROR(INDEX(Products!$C$2:$C$61,MATCH($A18,Products!$A$2:$A$61,0)),"Add to Products"))</f>
        <v/>
      </c>
      <c r="D18" s="11">
        <f>IF($A18="","",IFERROR(INDEX(Products!$D$2:$D$61,MATCH($A18,Products!$A$2:$A$61,0)),"Add to Products"))</f>
        <v/>
      </c>
      <c r="E18" s="11">
        <f>IF($A18="","",IFERROR(INDEX(Products!$E$2:$E$61,MATCH($A18,Products!$A$2:$A$61,0)),"Add to Products"))</f>
        <v/>
      </c>
      <c r="F18" s="11">
        <f>IF($A18="","",IFERROR(INDEX(Products!$F$2:$F$61,MATCH($A18,Products!$A$2:$A$61,0)),"Add to Products"))</f>
        <v/>
      </c>
      <c r="G18" s="10" t="n"/>
      <c r="H18" s="10" t="n"/>
      <c r="I18" s="10" t="n"/>
      <c r="J18" s="10" t="n"/>
      <c r="K18" s="10" t="n"/>
      <c r="L18" s="10" t="n"/>
      <c r="M18" s="10" t="n"/>
      <c r="N18" s="10" t="n"/>
      <c r="O18" s="12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3" t="n"/>
      <c r="Y18" s="13" t="n"/>
      <c r="Z18" s="14" t="n"/>
      <c r="AA18" s="10" t="n"/>
      <c r="AB18" s="10" t="n"/>
      <c r="AC18" s="10" t="n"/>
      <c r="AD18" s="10" t="n"/>
      <c r="AE18" s="10" t="n"/>
      <c r="AF18" s="10" t="n"/>
      <c r="AG18" s="13" t="n"/>
    </row>
    <row r="19">
      <c r="A19" s="10" t="n"/>
      <c r="B19" s="11">
        <f>IF($A19="","",IFERROR(INDEX(Products!$B$2:$B$61,MATCH($A19,Products!$A$2:$A$61,0)),"Add to Products"))</f>
        <v/>
      </c>
      <c r="C19" s="11">
        <f>IF($A19="","",IFERROR(INDEX(Products!$C$2:$C$61,MATCH($A19,Products!$A$2:$A$61,0)),"Add to Products"))</f>
        <v/>
      </c>
      <c r="D19" s="11">
        <f>IF($A19="","",IFERROR(INDEX(Products!$D$2:$D$61,MATCH($A19,Products!$A$2:$A$61,0)),"Add to Products"))</f>
        <v/>
      </c>
      <c r="E19" s="11">
        <f>IF($A19="","",IFERROR(INDEX(Products!$E$2:$E$61,MATCH($A19,Products!$A$2:$A$61,0)),"Add to Products"))</f>
        <v/>
      </c>
      <c r="F19" s="11">
        <f>IF($A19="","",IFERROR(INDEX(Products!$F$2:$F$61,MATCH($A19,Products!$A$2:$A$61,0)),"Add to Products"))</f>
        <v/>
      </c>
      <c r="G19" s="10" t="n"/>
      <c r="H19" s="10" t="n"/>
      <c r="I19" s="10" t="n"/>
      <c r="J19" s="10" t="n"/>
      <c r="K19" s="10" t="n"/>
      <c r="L19" s="10" t="n"/>
      <c r="M19" s="10" t="n"/>
      <c r="N19" s="10" t="n"/>
      <c r="O19" s="12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3" t="n"/>
      <c r="Y19" s="13" t="n"/>
      <c r="Z19" s="14" t="n"/>
      <c r="AA19" s="10" t="n"/>
      <c r="AB19" s="10" t="n"/>
      <c r="AC19" s="10" t="n"/>
      <c r="AD19" s="10" t="n"/>
      <c r="AE19" s="10" t="n"/>
      <c r="AF19" s="10" t="n"/>
      <c r="AG19" s="13" t="n"/>
    </row>
    <row r="20">
      <c r="A20" s="10" t="n"/>
      <c r="B20" s="11">
        <f>IF($A20="","",IFERROR(INDEX(Products!$B$2:$B$61,MATCH($A20,Products!$A$2:$A$61,0)),"Add to Products"))</f>
        <v/>
      </c>
      <c r="C20" s="11">
        <f>IF($A20="","",IFERROR(INDEX(Products!$C$2:$C$61,MATCH($A20,Products!$A$2:$A$61,0)),"Add to Products"))</f>
        <v/>
      </c>
      <c r="D20" s="11">
        <f>IF($A20="","",IFERROR(INDEX(Products!$D$2:$D$61,MATCH($A20,Products!$A$2:$A$61,0)),"Add to Products"))</f>
        <v/>
      </c>
      <c r="E20" s="11">
        <f>IF($A20="","",IFERROR(INDEX(Products!$E$2:$E$61,MATCH($A20,Products!$A$2:$A$61,0)),"Add to Products"))</f>
        <v/>
      </c>
      <c r="F20" s="11">
        <f>IF($A20="","",IFERROR(INDEX(Products!$F$2:$F$61,MATCH($A20,Products!$A$2:$A$61,0)),"Add to Products"))</f>
        <v/>
      </c>
      <c r="G20" s="10" t="n"/>
      <c r="H20" s="10" t="n"/>
      <c r="I20" s="10" t="n"/>
      <c r="J20" s="10" t="n"/>
      <c r="K20" s="10" t="n"/>
      <c r="L20" s="10" t="n"/>
      <c r="M20" s="10" t="n"/>
      <c r="N20" s="10" t="n"/>
      <c r="O20" s="12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3" t="n"/>
      <c r="Y20" s="13" t="n"/>
      <c r="Z20" s="14" t="n"/>
      <c r="AA20" s="10" t="n"/>
      <c r="AB20" s="10" t="n"/>
      <c r="AC20" s="10" t="n"/>
      <c r="AD20" s="10" t="n"/>
      <c r="AE20" s="10" t="n"/>
      <c r="AF20" s="10" t="n"/>
      <c r="AG20" s="13" t="n"/>
    </row>
    <row r="21">
      <c r="A21" s="10" t="n"/>
      <c r="B21" s="11">
        <f>IF($A21="","",IFERROR(INDEX(Products!$B$2:$B$61,MATCH($A21,Products!$A$2:$A$61,0)),"Add to Products"))</f>
        <v/>
      </c>
      <c r="C21" s="11">
        <f>IF($A21="","",IFERROR(INDEX(Products!$C$2:$C$61,MATCH($A21,Products!$A$2:$A$61,0)),"Add to Products"))</f>
        <v/>
      </c>
      <c r="D21" s="11">
        <f>IF($A21="","",IFERROR(INDEX(Products!$D$2:$D$61,MATCH($A21,Products!$A$2:$A$61,0)),"Add to Products"))</f>
        <v/>
      </c>
      <c r="E21" s="11">
        <f>IF($A21="","",IFERROR(INDEX(Products!$E$2:$E$61,MATCH($A21,Products!$A$2:$A$61,0)),"Add to Products"))</f>
        <v/>
      </c>
      <c r="F21" s="11">
        <f>IF($A21="","",IFERROR(INDEX(Products!$F$2:$F$61,MATCH($A21,Products!$A$2:$A$61,0)),"Add to Products"))</f>
        <v/>
      </c>
      <c r="G21" s="10" t="n"/>
      <c r="H21" s="10" t="n"/>
      <c r="I21" s="10" t="n"/>
      <c r="J21" s="10" t="n"/>
      <c r="K21" s="10" t="n"/>
      <c r="L21" s="10" t="n"/>
      <c r="M21" s="10" t="n"/>
      <c r="N21" s="10" t="n"/>
      <c r="O21" s="12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3" t="n"/>
      <c r="Y21" s="13" t="n"/>
      <c r="Z21" s="14" t="n"/>
      <c r="AA21" s="10" t="n"/>
      <c r="AB21" s="10" t="n"/>
      <c r="AC21" s="10" t="n"/>
      <c r="AD21" s="10" t="n"/>
      <c r="AE21" s="10" t="n"/>
      <c r="AF21" s="10" t="n"/>
      <c r="AG21" s="13" t="n"/>
    </row>
    <row r="22">
      <c r="A22" s="10" t="n"/>
      <c r="B22" s="11">
        <f>IF($A22="","",IFERROR(INDEX(Products!$B$2:$B$61,MATCH($A22,Products!$A$2:$A$61,0)),"Add to Products"))</f>
        <v/>
      </c>
      <c r="C22" s="11">
        <f>IF($A22="","",IFERROR(INDEX(Products!$C$2:$C$61,MATCH($A22,Products!$A$2:$A$61,0)),"Add to Products"))</f>
        <v/>
      </c>
      <c r="D22" s="11">
        <f>IF($A22="","",IFERROR(INDEX(Products!$D$2:$D$61,MATCH($A22,Products!$A$2:$A$61,0)),"Add to Products"))</f>
        <v/>
      </c>
      <c r="E22" s="11">
        <f>IF($A22="","",IFERROR(INDEX(Products!$E$2:$E$61,MATCH($A22,Products!$A$2:$A$61,0)),"Add to Products"))</f>
        <v/>
      </c>
      <c r="F22" s="11">
        <f>IF($A22="","",IFERROR(INDEX(Products!$F$2:$F$61,MATCH($A22,Products!$A$2:$A$61,0)),"Add to Products"))</f>
        <v/>
      </c>
      <c r="G22" s="10" t="n"/>
      <c r="H22" s="10" t="n"/>
      <c r="I22" s="10" t="n"/>
      <c r="J22" s="10" t="n"/>
      <c r="K22" s="10" t="n"/>
      <c r="L22" s="10" t="n"/>
      <c r="M22" s="10" t="n"/>
      <c r="N22" s="10" t="n"/>
      <c r="O22" s="12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3" t="n"/>
      <c r="Y22" s="13" t="n"/>
      <c r="Z22" s="14" t="n"/>
      <c r="AA22" s="10" t="n"/>
      <c r="AB22" s="10" t="n"/>
      <c r="AC22" s="10" t="n"/>
      <c r="AD22" s="10" t="n"/>
      <c r="AE22" s="10" t="n"/>
      <c r="AF22" s="10" t="n"/>
      <c r="AG22" s="13" t="n"/>
    </row>
    <row r="23">
      <c r="A23" s="10" t="n"/>
      <c r="B23" s="11">
        <f>IF($A23="","",IFERROR(INDEX(Products!$B$2:$B$61,MATCH($A23,Products!$A$2:$A$61,0)),"Add to Products"))</f>
        <v/>
      </c>
      <c r="C23" s="11">
        <f>IF($A23="","",IFERROR(INDEX(Products!$C$2:$C$61,MATCH($A23,Products!$A$2:$A$61,0)),"Add to Products"))</f>
        <v/>
      </c>
      <c r="D23" s="11">
        <f>IF($A23="","",IFERROR(INDEX(Products!$D$2:$D$61,MATCH($A23,Products!$A$2:$A$61,0)),"Add to Products"))</f>
        <v/>
      </c>
      <c r="E23" s="11">
        <f>IF($A23="","",IFERROR(INDEX(Products!$E$2:$E$61,MATCH($A23,Products!$A$2:$A$61,0)),"Add to Products"))</f>
        <v/>
      </c>
      <c r="F23" s="11">
        <f>IF($A23="","",IFERROR(INDEX(Products!$F$2:$F$61,MATCH($A23,Products!$A$2:$A$61,0)),"Add to Products"))</f>
        <v/>
      </c>
      <c r="G23" s="10" t="n"/>
      <c r="H23" s="10" t="n"/>
      <c r="I23" s="10" t="n"/>
      <c r="J23" s="10" t="n"/>
      <c r="K23" s="10" t="n"/>
      <c r="L23" s="10" t="n"/>
      <c r="M23" s="10" t="n"/>
      <c r="N23" s="10" t="n"/>
      <c r="O23" s="12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3" t="n"/>
      <c r="Y23" s="13" t="n"/>
      <c r="Z23" s="14" t="n"/>
      <c r="AA23" s="10" t="n"/>
      <c r="AB23" s="10" t="n"/>
      <c r="AC23" s="10" t="n"/>
      <c r="AD23" s="10" t="n"/>
      <c r="AE23" s="10" t="n"/>
      <c r="AF23" s="10" t="n"/>
      <c r="AG23" s="13" t="n"/>
    </row>
    <row r="24">
      <c r="A24" s="10" t="n"/>
      <c r="B24" s="11">
        <f>IF($A24="","",IFERROR(INDEX(Products!$B$2:$B$61,MATCH($A24,Products!$A$2:$A$61,0)),"Add to Products"))</f>
        <v/>
      </c>
      <c r="C24" s="11">
        <f>IF($A24="","",IFERROR(INDEX(Products!$C$2:$C$61,MATCH($A24,Products!$A$2:$A$61,0)),"Add to Products"))</f>
        <v/>
      </c>
      <c r="D24" s="11">
        <f>IF($A24="","",IFERROR(INDEX(Products!$D$2:$D$61,MATCH($A24,Products!$A$2:$A$61,0)),"Add to Products"))</f>
        <v/>
      </c>
      <c r="E24" s="11">
        <f>IF($A24="","",IFERROR(INDEX(Products!$E$2:$E$61,MATCH($A24,Products!$A$2:$A$61,0)),"Add to Products"))</f>
        <v/>
      </c>
      <c r="F24" s="11">
        <f>IF($A24="","",IFERROR(INDEX(Products!$F$2:$F$61,MATCH($A24,Products!$A$2:$A$61,0)),"Add to Products"))</f>
        <v/>
      </c>
      <c r="G24" s="10" t="n"/>
      <c r="H24" s="10" t="n"/>
      <c r="I24" s="10" t="n"/>
      <c r="J24" s="10" t="n"/>
      <c r="K24" s="10" t="n"/>
      <c r="L24" s="10" t="n"/>
      <c r="M24" s="10" t="n"/>
      <c r="N24" s="10" t="n"/>
      <c r="O24" s="12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3" t="n"/>
      <c r="Y24" s="13" t="n"/>
      <c r="Z24" s="14" t="n"/>
      <c r="AA24" s="10" t="n"/>
      <c r="AB24" s="10" t="n"/>
      <c r="AC24" s="10" t="n"/>
      <c r="AD24" s="10" t="n"/>
      <c r="AE24" s="10" t="n"/>
      <c r="AF24" s="10" t="n"/>
      <c r="AG24" s="13" t="n"/>
    </row>
    <row r="25">
      <c r="A25" s="10" t="n"/>
      <c r="B25" s="11">
        <f>IF($A25="","",IFERROR(INDEX(Products!$B$2:$B$61,MATCH($A25,Products!$A$2:$A$61,0)),"Add to Products"))</f>
        <v/>
      </c>
      <c r="C25" s="11">
        <f>IF($A25="","",IFERROR(INDEX(Products!$C$2:$C$61,MATCH($A25,Products!$A$2:$A$61,0)),"Add to Products"))</f>
        <v/>
      </c>
      <c r="D25" s="11">
        <f>IF($A25="","",IFERROR(INDEX(Products!$D$2:$D$61,MATCH($A25,Products!$A$2:$A$61,0)),"Add to Products"))</f>
        <v/>
      </c>
      <c r="E25" s="11">
        <f>IF($A25="","",IFERROR(INDEX(Products!$E$2:$E$61,MATCH($A25,Products!$A$2:$A$61,0)),"Add to Products"))</f>
        <v/>
      </c>
      <c r="F25" s="11">
        <f>IF($A25="","",IFERROR(INDEX(Products!$F$2:$F$61,MATCH($A25,Products!$A$2:$A$61,0)),"Add to Products"))</f>
        <v/>
      </c>
      <c r="G25" s="10" t="n"/>
      <c r="H25" s="10" t="n"/>
      <c r="I25" s="10" t="n"/>
      <c r="J25" s="10" t="n"/>
      <c r="K25" s="10" t="n"/>
      <c r="L25" s="10" t="n"/>
      <c r="M25" s="10" t="n"/>
      <c r="N25" s="10" t="n"/>
      <c r="O25" s="12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3" t="n"/>
      <c r="Y25" s="13" t="n"/>
      <c r="Z25" s="14" t="n"/>
      <c r="AA25" s="10" t="n"/>
      <c r="AB25" s="10" t="n"/>
      <c r="AC25" s="10" t="n"/>
      <c r="AD25" s="10" t="n"/>
      <c r="AE25" s="10" t="n"/>
      <c r="AF25" s="10" t="n"/>
      <c r="AG25" s="13" t="n"/>
    </row>
    <row r="26">
      <c r="A26" s="10" t="n"/>
      <c r="B26" s="11">
        <f>IF($A26="","",IFERROR(INDEX(Products!$B$2:$B$61,MATCH($A26,Products!$A$2:$A$61,0)),"Add to Products"))</f>
        <v/>
      </c>
      <c r="C26" s="11">
        <f>IF($A26="","",IFERROR(INDEX(Products!$C$2:$C$61,MATCH($A26,Products!$A$2:$A$61,0)),"Add to Products"))</f>
        <v/>
      </c>
      <c r="D26" s="11">
        <f>IF($A26="","",IFERROR(INDEX(Products!$D$2:$D$61,MATCH($A26,Products!$A$2:$A$61,0)),"Add to Products"))</f>
        <v/>
      </c>
      <c r="E26" s="11">
        <f>IF($A26="","",IFERROR(INDEX(Products!$E$2:$E$61,MATCH($A26,Products!$A$2:$A$61,0)),"Add to Products"))</f>
        <v/>
      </c>
      <c r="F26" s="11">
        <f>IF($A26="","",IFERROR(INDEX(Products!$F$2:$F$61,MATCH($A26,Products!$A$2:$A$61,0)),"Add to Products"))</f>
        <v/>
      </c>
      <c r="G26" s="10" t="n"/>
      <c r="H26" s="10" t="n"/>
      <c r="I26" s="10" t="n"/>
      <c r="J26" s="10" t="n"/>
      <c r="K26" s="10" t="n"/>
      <c r="L26" s="10" t="n"/>
      <c r="M26" s="10" t="n"/>
      <c r="N26" s="10" t="n"/>
      <c r="O26" s="12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3" t="n"/>
      <c r="Y26" s="13" t="n"/>
      <c r="Z26" s="14" t="n"/>
      <c r="AA26" s="10" t="n"/>
      <c r="AB26" s="10" t="n"/>
      <c r="AC26" s="10" t="n"/>
      <c r="AD26" s="10" t="n"/>
      <c r="AE26" s="10" t="n"/>
      <c r="AF26" s="10" t="n"/>
      <c r="AG26" s="13" t="n"/>
    </row>
    <row r="27">
      <c r="A27" s="10" t="n"/>
      <c r="B27" s="11">
        <f>IF($A27="","",IFERROR(INDEX(Products!$B$2:$B$61,MATCH($A27,Products!$A$2:$A$61,0)),"Add to Products"))</f>
        <v/>
      </c>
      <c r="C27" s="11">
        <f>IF($A27="","",IFERROR(INDEX(Products!$C$2:$C$61,MATCH($A27,Products!$A$2:$A$61,0)),"Add to Products"))</f>
        <v/>
      </c>
      <c r="D27" s="11">
        <f>IF($A27="","",IFERROR(INDEX(Products!$D$2:$D$61,MATCH($A27,Products!$A$2:$A$61,0)),"Add to Products"))</f>
        <v/>
      </c>
      <c r="E27" s="11">
        <f>IF($A27="","",IFERROR(INDEX(Products!$E$2:$E$61,MATCH($A27,Products!$A$2:$A$61,0)),"Add to Products"))</f>
        <v/>
      </c>
      <c r="F27" s="11">
        <f>IF($A27="","",IFERROR(INDEX(Products!$F$2:$F$61,MATCH($A27,Products!$A$2:$A$61,0)),"Add to Products"))</f>
        <v/>
      </c>
      <c r="G27" s="10" t="n"/>
      <c r="H27" s="10" t="n"/>
      <c r="I27" s="10" t="n"/>
      <c r="J27" s="10" t="n"/>
      <c r="K27" s="10" t="n"/>
      <c r="L27" s="10" t="n"/>
      <c r="M27" s="10" t="n"/>
      <c r="N27" s="10" t="n"/>
      <c r="O27" s="12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3" t="n"/>
      <c r="Y27" s="13" t="n"/>
      <c r="Z27" s="14" t="n"/>
      <c r="AA27" s="10" t="n"/>
      <c r="AB27" s="10" t="n"/>
      <c r="AC27" s="10" t="n"/>
      <c r="AD27" s="10" t="n"/>
      <c r="AE27" s="10" t="n"/>
      <c r="AF27" s="10" t="n"/>
      <c r="AG27" s="13" t="n"/>
    </row>
    <row r="28">
      <c r="A28" s="10" t="n"/>
      <c r="B28" s="11">
        <f>IF($A28="","",IFERROR(INDEX(Products!$B$2:$B$61,MATCH($A28,Products!$A$2:$A$61,0)),"Add to Products"))</f>
        <v/>
      </c>
      <c r="C28" s="11">
        <f>IF($A28="","",IFERROR(INDEX(Products!$C$2:$C$61,MATCH($A28,Products!$A$2:$A$61,0)),"Add to Products"))</f>
        <v/>
      </c>
      <c r="D28" s="11">
        <f>IF($A28="","",IFERROR(INDEX(Products!$D$2:$D$61,MATCH($A28,Products!$A$2:$A$61,0)),"Add to Products"))</f>
        <v/>
      </c>
      <c r="E28" s="11">
        <f>IF($A28="","",IFERROR(INDEX(Products!$E$2:$E$61,MATCH($A28,Products!$A$2:$A$61,0)),"Add to Products"))</f>
        <v/>
      </c>
      <c r="F28" s="11">
        <f>IF($A28="","",IFERROR(INDEX(Products!$F$2:$F$61,MATCH($A28,Products!$A$2:$A$61,0)),"Add to Products"))</f>
        <v/>
      </c>
      <c r="G28" s="10" t="n"/>
      <c r="H28" s="10" t="n"/>
      <c r="I28" s="10" t="n"/>
      <c r="J28" s="10" t="n"/>
      <c r="K28" s="10" t="n"/>
      <c r="L28" s="10" t="n"/>
      <c r="M28" s="10" t="n"/>
      <c r="N28" s="10" t="n"/>
      <c r="O28" s="12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3" t="n"/>
      <c r="Y28" s="13" t="n"/>
      <c r="Z28" s="14" t="n"/>
      <c r="AA28" s="10" t="n"/>
      <c r="AB28" s="10" t="n"/>
      <c r="AC28" s="10" t="n"/>
      <c r="AD28" s="10" t="n"/>
      <c r="AE28" s="10" t="n"/>
      <c r="AF28" s="10" t="n"/>
      <c r="AG28" s="13" t="n"/>
    </row>
    <row r="29">
      <c r="A29" s="10" t="n"/>
      <c r="B29" s="11">
        <f>IF($A29="","",IFERROR(INDEX(Products!$B$2:$B$61,MATCH($A29,Products!$A$2:$A$61,0)),"Add to Products"))</f>
        <v/>
      </c>
      <c r="C29" s="11">
        <f>IF($A29="","",IFERROR(INDEX(Products!$C$2:$C$61,MATCH($A29,Products!$A$2:$A$61,0)),"Add to Products"))</f>
        <v/>
      </c>
      <c r="D29" s="11">
        <f>IF($A29="","",IFERROR(INDEX(Products!$D$2:$D$61,MATCH($A29,Products!$A$2:$A$61,0)),"Add to Products"))</f>
        <v/>
      </c>
      <c r="E29" s="11">
        <f>IF($A29="","",IFERROR(INDEX(Products!$E$2:$E$61,MATCH($A29,Products!$A$2:$A$61,0)),"Add to Products"))</f>
        <v/>
      </c>
      <c r="F29" s="11">
        <f>IF($A29="","",IFERROR(INDEX(Products!$F$2:$F$61,MATCH($A29,Products!$A$2:$A$61,0)),"Add to Products"))</f>
        <v/>
      </c>
      <c r="G29" s="10" t="n"/>
      <c r="H29" s="10" t="n"/>
      <c r="I29" s="10" t="n"/>
      <c r="J29" s="10" t="n"/>
      <c r="K29" s="10" t="n"/>
      <c r="L29" s="10" t="n"/>
      <c r="M29" s="10" t="n"/>
      <c r="N29" s="10" t="n"/>
      <c r="O29" s="12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3" t="n"/>
      <c r="Y29" s="13" t="n"/>
      <c r="Z29" s="14" t="n"/>
      <c r="AA29" s="10" t="n"/>
      <c r="AB29" s="10" t="n"/>
      <c r="AC29" s="10" t="n"/>
      <c r="AD29" s="10" t="n"/>
      <c r="AE29" s="10" t="n"/>
      <c r="AF29" s="10" t="n"/>
      <c r="AG29" s="13" t="n"/>
    </row>
    <row r="30">
      <c r="A30" s="10" t="n"/>
      <c r="B30" s="11">
        <f>IF($A30="","",IFERROR(INDEX(Products!$B$2:$B$61,MATCH($A30,Products!$A$2:$A$61,0)),"Add to Products"))</f>
        <v/>
      </c>
      <c r="C30" s="11">
        <f>IF($A30="","",IFERROR(INDEX(Products!$C$2:$C$61,MATCH($A30,Products!$A$2:$A$61,0)),"Add to Products"))</f>
        <v/>
      </c>
      <c r="D30" s="11">
        <f>IF($A30="","",IFERROR(INDEX(Products!$D$2:$D$61,MATCH($A30,Products!$A$2:$A$61,0)),"Add to Products"))</f>
        <v/>
      </c>
      <c r="E30" s="11">
        <f>IF($A30="","",IFERROR(INDEX(Products!$E$2:$E$61,MATCH($A30,Products!$A$2:$A$61,0)),"Add to Products"))</f>
        <v/>
      </c>
      <c r="F30" s="11">
        <f>IF($A30="","",IFERROR(INDEX(Products!$F$2:$F$61,MATCH($A30,Products!$A$2:$A$61,0)),"Add to Products"))</f>
        <v/>
      </c>
      <c r="G30" s="10" t="n"/>
      <c r="H30" s="10" t="n"/>
      <c r="I30" s="10" t="n"/>
      <c r="J30" s="10" t="n"/>
      <c r="K30" s="10" t="n"/>
      <c r="L30" s="10" t="n"/>
      <c r="M30" s="10" t="n"/>
      <c r="N30" s="10" t="n"/>
      <c r="O30" s="12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3" t="n"/>
      <c r="Y30" s="13" t="n"/>
      <c r="Z30" s="14" t="n"/>
      <c r="AA30" s="10" t="n"/>
      <c r="AB30" s="10" t="n"/>
      <c r="AC30" s="10" t="n"/>
      <c r="AD30" s="10" t="n"/>
      <c r="AE30" s="10" t="n"/>
      <c r="AF30" s="10" t="n"/>
      <c r="AG30" s="13" t="n"/>
    </row>
    <row r="31">
      <c r="A31" s="10" t="n"/>
      <c r="B31" s="11">
        <f>IF($A31="","",IFERROR(INDEX(Products!$B$2:$B$61,MATCH($A31,Products!$A$2:$A$61,0)),"Add to Products"))</f>
        <v/>
      </c>
      <c r="C31" s="11">
        <f>IF($A31="","",IFERROR(INDEX(Products!$C$2:$C$61,MATCH($A31,Products!$A$2:$A$61,0)),"Add to Products"))</f>
        <v/>
      </c>
      <c r="D31" s="11">
        <f>IF($A31="","",IFERROR(INDEX(Products!$D$2:$D$61,MATCH($A31,Products!$A$2:$A$61,0)),"Add to Products"))</f>
        <v/>
      </c>
      <c r="E31" s="11">
        <f>IF($A31="","",IFERROR(INDEX(Products!$E$2:$E$61,MATCH($A31,Products!$A$2:$A$61,0)),"Add to Products"))</f>
        <v/>
      </c>
      <c r="F31" s="11">
        <f>IF($A31="","",IFERROR(INDEX(Products!$F$2:$F$61,MATCH($A31,Products!$A$2:$A$61,0)),"Add to Products"))</f>
        <v/>
      </c>
      <c r="G31" s="10" t="n"/>
      <c r="H31" s="10" t="n"/>
      <c r="I31" s="10" t="n"/>
      <c r="J31" s="10" t="n"/>
      <c r="K31" s="10" t="n"/>
      <c r="L31" s="10" t="n"/>
      <c r="M31" s="10" t="n"/>
      <c r="N31" s="10" t="n"/>
      <c r="O31" s="12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3" t="n"/>
      <c r="Y31" s="13" t="n"/>
      <c r="Z31" s="14" t="n"/>
      <c r="AA31" s="10" t="n"/>
      <c r="AB31" s="10" t="n"/>
      <c r="AC31" s="10" t="n"/>
      <c r="AD31" s="10" t="n"/>
      <c r="AE31" s="10" t="n"/>
      <c r="AF31" s="10" t="n"/>
      <c r="AG31" s="13" t="n"/>
    </row>
    <row r="32">
      <c r="A32" s="10" t="n"/>
      <c r="B32" s="11">
        <f>IF($A32="","",IFERROR(INDEX(Products!$B$2:$B$61,MATCH($A32,Products!$A$2:$A$61,0)),"Add to Products"))</f>
        <v/>
      </c>
      <c r="C32" s="11">
        <f>IF($A32="","",IFERROR(INDEX(Products!$C$2:$C$61,MATCH($A32,Products!$A$2:$A$61,0)),"Add to Products"))</f>
        <v/>
      </c>
      <c r="D32" s="11">
        <f>IF($A32="","",IFERROR(INDEX(Products!$D$2:$D$61,MATCH($A32,Products!$A$2:$A$61,0)),"Add to Products"))</f>
        <v/>
      </c>
      <c r="E32" s="11">
        <f>IF($A32="","",IFERROR(INDEX(Products!$E$2:$E$61,MATCH($A32,Products!$A$2:$A$61,0)),"Add to Products"))</f>
        <v/>
      </c>
      <c r="F32" s="11">
        <f>IF($A32="","",IFERROR(INDEX(Products!$F$2:$F$61,MATCH($A32,Products!$A$2:$A$61,0)),"Add to Products"))</f>
        <v/>
      </c>
      <c r="G32" s="10" t="n"/>
      <c r="H32" s="10" t="n"/>
      <c r="I32" s="10" t="n"/>
      <c r="J32" s="10" t="n"/>
      <c r="K32" s="10" t="n"/>
      <c r="L32" s="10" t="n"/>
      <c r="M32" s="10" t="n"/>
      <c r="N32" s="10" t="n"/>
      <c r="O32" s="12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3" t="n"/>
      <c r="Y32" s="13" t="n"/>
      <c r="Z32" s="14" t="n"/>
      <c r="AA32" s="10" t="n"/>
      <c r="AB32" s="10" t="n"/>
      <c r="AC32" s="10" t="n"/>
      <c r="AD32" s="10" t="n"/>
      <c r="AE32" s="10" t="n"/>
      <c r="AF32" s="10" t="n"/>
      <c r="AG32" s="13" t="n"/>
    </row>
    <row r="33">
      <c r="A33" s="10" t="n"/>
      <c r="B33" s="11">
        <f>IF($A33="","",IFERROR(INDEX(Products!$B$2:$B$61,MATCH($A33,Products!$A$2:$A$61,0)),"Add to Products"))</f>
        <v/>
      </c>
      <c r="C33" s="11">
        <f>IF($A33="","",IFERROR(INDEX(Products!$C$2:$C$61,MATCH($A33,Products!$A$2:$A$61,0)),"Add to Products"))</f>
        <v/>
      </c>
      <c r="D33" s="11">
        <f>IF($A33="","",IFERROR(INDEX(Products!$D$2:$D$61,MATCH($A33,Products!$A$2:$A$61,0)),"Add to Products"))</f>
        <v/>
      </c>
      <c r="E33" s="11">
        <f>IF($A33="","",IFERROR(INDEX(Products!$E$2:$E$61,MATCH($A33,Products!$A$2:$A$61,0)),"Add to Products"))</f>
        <v/>
      </c>
      <c r="F33" s="11">
        <f>IF($A33="","",IFERROR(INDEX(Products!$F$2:$F$61,MATCH($A33,Products!$A$2:$A$61,0)),"Add to Products"))</f>
        <v/>
      </c>
      <c r="G33" s="10" t="n"/>
      <c r="H33" s="10" t="n"/>
      <c r="I33" s="10" t="n"/>
      <c r="J33" s="10" t="n"/>
      <c r="K33" s="10" t="n"/>
      <c r="L33" s="10" t="n"/>
      <c r="M33" s="10" t="n"/>
      <c r="N33" s="10" t="n"/>
      <c r="O33" s="12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3" t="n"/>
      <c r="Y33" s="13" t="n"/>
      <c r="Z33" s="14" t="n"/>
      <c r="AA33" s="10" t="n"/>
      <c r="AB33" s="10" t="n"/>
      <c r="AC33" s="10" t="n"/>
      <c r="AD33" s="10" t="n"/>
      <c r="AE33" s="10" t="n"/>
      <c r="AF33" s="10" t="n"/>
      <c r="AG33" s="13" t="n"/>
    </row>
    <row r="34">
      <c r="A34" s="10" t="n"/>
      <c r="B34" s="11">
        <f>IF($A34="","",IFERROR(INDEX(Products!$B$2:$B$61,MATCH($A34,Products!$A$2:$A$61,0)),"Add to Products"))</f>
        <v/>
      </c>
      <c r="C34" s="11">
        <f>IF($A34="","",IFERROR(INDEX(Products!$C$2:$C$61,MATCH($A34,Products!$A$2:$A$61,0)),"Add to Products"))</f>
        <v/>
      </c>
      <c r="D34" s="11">
        <f>IF($A34="","",IFERROR(INDEX(Products!$D$2:$D$61,MATCH($A34,Products!$A$2:$A$61,0)),"Add to Products"))</f>
        <v/>
      </c>
      <c r="E34" s="11">
        <f>IF($A34="","",IFERROR(INDEX(Products!$E$2:$E$61,MATCH($A34,Products!$A$2:$A$61,0)),"Add to Products"))</f>
        <v/>
      </c>
      <c r="F34" s="11">
        <f>IF($A34="","",IFERROR(INDEX(Products!$F$2:$F$61,MATCH($A34,Products!$A$2:$A$61,0)),"Add to Products"))</f>
        <v/>
      </c>
      <c r="G34" s="10" t="n"/>
      <c r="H34" s="10" t="n"/>
      <c r="I34" s="10" t="n"/>
      <c r="J34" s="10" t="n"/>
      <c r="K34" s="10" t="n"/>
      <c r="L34" s="10" t="n"/>
      <c r="M34" s="10" t="n"/>
      <c r="N34" s="10" t="n"/>
      <c r="O34" s="12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3" t="n"/>
      <c r="Y34" s="13" t="n"/>
      <c r="Z34" s="14" t="n"/>
      <c r="AA34" s="10" t="n"/>
      <c r="AB34" s="10" t="n"/>
      <c r="AC34" s="10" t="n"/>
      <c r="AD34" s="10" t="n"/>
      <c r="AE34" s="10" t="n"/>
      <c r="AF34" s="10" t="n"/>
      <c r="AG34" s="13" t="n"/>
    </row>
    <row r="35">
      <c r="A35" s="10" t="n"/>
      <c r="B35" s="11">
        <f>IF($A35="","",IFERROR(INDEX(Products!$B$2:$B$61,MATCH($A35,Products!$A$2:$A$61,0)),"Add to Products"))</f>
        <v/>
      </c>
      <c r="C35" s="11">
        <f>IF($A35="","",IFERROR(INDEX(Products!$C$2:$C$61,MATCH($A35,Products!$A$2:$A$61,0)),"Add to Products"))</f>
        <v/>
      </c>
      <c r="D35" s="11">
        <f>IF($A35="","",IFERROR(INDEX(Products!$D$2:$D$61,MATCH($A35,Products!$A$2:$A$61,0)),"Add to Products"))</f>
        <v/>
      </c>
      <c r="E35" s="11">
        <f>IF($A35="","",IFERROR(INDEX(Products!$E$2:$E$61,MATCH($A35,Products!$A$2:$A$61,0)),"Add to Products"))</f>
        <v/>
      </c>
      <c r="F35" s="11">
        <f>IF($A35="","",IFERROR(INDEX(Products!$F$2:$F$61,MATCH($A35,Products!$A$2:$A$61,0)),"Add to Products"))</f>
        <v/>
      </c>
      <c r="G35" s="10" t="n"/>
      <c r="H35" s="10" t="n"/>
      <c r="I35" s="10" t="n"/>
      <c r="J35" s="10" t="n"/>
      <c r="K35" s="10" t="n"/>
      <c r="L35" s="10" t="n"/>
      <c r="M35" s="10" t="n"/>
      <c r="N35" s="10" t="n"/>
      <c r="O35" s="12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3" t="n"/>
      <c r="Y35" s="13" t="n"/>
      <c r="Z35" s="14" t="n"/>
      <c r="AA35" s="10" t="n"/>
      <c r="AB35" s="10" t="n"/>
      <c r="AC35" s="10" t="n"/>
      <c r="AD35" s="10" t="n"/>
      <c r="AE35" s="10" t="n"/>
      <c r="AF35" s="10" t="n"/>
      <c r="AG35" s="13" t="n"/>
    </row>
    <row r="36">
      <c r="A36" s="10" t="n"/>
      <c r="B36" s="11">
        <f>IF($A36="","",IFERROR(INDEX(Products!$B$2:$B$61,MATCH($A36,Products!$A$2:$A$61,0)),"Add to Products"))</f>
        <v/>
      </c>
      <c r="C36" s="11">
        <f>IF($A36="","",IFERROR(INDEX(Products!$C$2:$C$61,MATCH($A36,Products!$A$2:$A$61,0)),"Add to Products"))</f>
        <v/>
      </c>
      <c r="D36" s="11">
        <f>IF($A36="","",IFERROR(INDEX(Products!$D$2:$D$61,MATCH($A36,Products!$A$2:$A$61,0)),"Add to Products"))</f>
        <v/>
      </c>
      <c r="E36" s="11">
        <f>IF($A36="","",IFERROR(INDEX(Products!$E$2:$E$61,MATCH($A36,Products!$A$2:$A$61,0)),"Add to Products"))</f>
        <v/>
      </c>
      <c r="F36" s="11">
        <f>IF($A36="","",IFERROR(INDEX(Products!$F$2:$F$61,MATCH($A36,Products!$A$2:$A$61,0)),"Add to Products"))</f>
        <v/>
      </c>
      <c r="G36" s="10" t="n"/>
      <c r="H36" s="10" t="n"/>
      <c r="I36" s="10" t="n"/>
      <c r="J36" s="10" t="n"/>
      <c r="K36" s="10" t="n"/>
      <c r="L36" s="10" t="n"/>
      <c r="M36" s="10" t="n"/>
      <c r="N36" s="10" t="n"/>
      <c r="O36" s="12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3" t="n"/>
      <c r="Y36" s="13" t="n"/>
      <c r="Z36" s="14" t="n"/>
      <c r="AA36" s="10" t="n"/>
      <c r="AB36" s="10" t="n"/>
      <c r="AC36" s="10" t="n"/>
      <c r="AD36" s="10" t="n"/>
      <c r="AE36" s="10" t="n"/>
      <c r="AF36" s="10" t="n"/>
      <c r="AG36" s="13" t="n"/>
    </row>
    <row r="37">
      <c r="A37" s="10" t="n"/>
      <c r="B37" s="11">
        <f>IF($A37="","",IFERROR(INDEX(Products!$B$2:$B$61,MATCH($A37,Products!$A$2:$A$61,0)),"Add to Products"))</f>
        <v/>
      </c>
      <c r="C37" s="11">
        <f>IF($A37="","",IFERROR(INDEX(Products!$C$2:$C$61,MATCH($A37,Products!$A$2:$A$61,0)),"Add to Products"))</f>
        <v/>
      </c>
      <c r="D37" s="11">
        <f>IF($A37="","",IFERROR(INDEX(Products!$D$2:$D$61,MATCH($A37,Products!$A$2:$A$61,0)),"Add to Products"))</f>
        <v/>
      </c>
      <c r="E37" s="11">
        <f>IF($A37="","",IFERROR(INDEX(Products!$E$2:$E$61,MATCH($A37,Products!$A$2:$A$61,0)),"Add to Products"))</f>
        <v/>
      </c>
      <c r="F37" s="11">
        <f>IF($A37="","",IFERROR(INDEX(Products!$F$2:$F$61,MATCH($A37,Products!$A$2:$A$61,0)),"Add to Products"))</f>
        <v/>
      </c>
      <c r="G37" s="10" t="n"/>
      <c r="H37" s="10" t="n"/>
      <c r="I37" s="10" t="n"/>
      <c r="J37" s="10" t="n"/>
      <c r="K37" s="10" t="n"/>
      <c r="L37" s="10" t="n"/>
      <c r="M37" s="10" t="n"/>
      <c r="N37" s="10" t="n"/>
      <c r="O37" s="12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3" t="n"/>
      <c r="Y37" s="13" t="n"/>
      <c r="Z37" s="14" t="n"/>
      <c r="AA37" s="10" t="n"/>
      <c r="AB37" s="10" t="n"/>
      <c r="AC37" s="10" t="n"/>
      <c r="AD37" s="10" t="n"/>
      <c r="AE37" s="10" t="n"/>
      <c r="AF37" s="10" t="n"/>
      <c r="AG37" s="13" t="n"/>
    </row>
    <row r="38">
      <c r="A38" s="10" t="n"/>
      <c r="B38" s="11">
        <f>IF($A38="","",IFERROR(INDEX(Products!$B$2:$B$61,MATCH($A38,Products!$A$2:$A$61,0)),"Add to Products"))</f>
        <v/>
      </c>
      <c r="C38" s="11">
        <f>IF($A38="","",IFERROR(INDEX(Products!$C$2:$C$61,MATCH($A38,Products!$A$2:$A$61,0)),"Add to Products"))</f>
        <v/>
      </c>
      <c r="D38" s="11">
        <f>IF($A38="","",IFERROR(INDEX(Products!$D$2:$D$61,MATCH($A38,Products!$A$2:$A$61,0)),"Add to Products"))</f>
        <v/>
      </c>
      <c r="E38" s="11">
        <f>IF($A38="","",IFERROR(INDEX(Products!$E$2:$E$61,MATCH($A38,Products!$A$2:$A$61,0)),"Add to Products"))</f>
        <v/>
      </c>
      <c r="F38" s="11">
        <f>IF($A38="","",IFERROR(INDEX(Products!$F$2:$F$61,MATCH($A38,Products!$A$2:$A$61,0)),"Add to Products"))</f>
        <v/>
      </c>
      <c r="G38" s="10" t="n"/>
      <c r="H38" s="10" t="n"/>
      <c r="I38" s="10" t="n"/>
      <c r="J38" s="10" t="n"/>
      <c r="K38" s="10" t="n"/>
      <c r="L38" s="10" t="n"/>
      <c r="M38" s="10" t="n"/>
      <c r="N38" s="10" t="n"/>
      <c r="O38" s="12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3" t="n"/>
      <c r="Y38" s="13" t="n"/>
      <c r="Z38" s="14" t="n"/>
      <c r="AA38" s="10" t="n"/>
      <c r="AB38" s="10" t="n"/>
      <c r="AC38" s="10" t="n"/>
      <c r="AD38" s="10" t="n"/>
      <c r="AE38" s="10" t="n"/>
      <c r="AF38" s="10" t="n"/>
      <c r="AG38" s="13" t="n"/>
    </row>
    <row r="39">
      <c r="A39" s="10" t="n"/>
      <c r="B39" s="11">
        <f>IF($A39="","",IFERROR(INDEX(Products!$B$2:$B$61,MATCH($A39,Products!$A$2:$A$61,0)),"Add to Products"))</f>
        <v/>
      </c>
      <c r="C39" s="11">
        <f>IF($A39="","",IFERROR(INDEX(Products!$C$2:$C$61,MATCH($A39,Products!$A$2:$A$61,0)),"Add to Products"))</f>
        <v/>
      </c>
      <c r="D39" s="11">
        <f>IF($A39="","",IFERROR(INDEX(Products!$D$2:$D$61,MATCH($A39,Products!$A$2:$A$61,0)),"Add to Products"))</f>
        <v/>
      </c>
      <c r="E39" s="11">
        <f>IF($A39="","",IFERROR(INDEX(Products!$E$2:$E$61,MATCH($A39,Products!$A$2:$A$61,0)),"Add to Products"))</f>
        <v/>
      </c>
      <c r="F39" s="11">
        <f>IF($A39="","",IFERROR(INDEX(Products!$F$2:$F$61,MATCH($A39,Products!$A$2:$A$61,0)),"Add to Products"))</f>
        <v/>
      </c>
      <c r="G39" s="10" t="n"/>
      <c r="H39" s="10" t="n"/>
      <c r="I39" s="10" t="n"/>
      <c r="J39" s="10" t="n"/>
      <c r="K39" s="10" t="n"/>
      <c r="L39" s="10" t="n"/>
      <c r="M39" s="10" t="n"/>
      <c r="N39" s="10" t="n"/>
      <c r="O39" s="12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3" t="n"/>
      <c r="Y39" s="13" t="n"/>
      <c r="Z39" s="14" t="n"/>
      <c r="AA39" s="10" t="n"/>
      <c r="AB39" s="10" t="n"/>
      <c r="AC39" s="10" t="n"/>
      <c r="AD39" s="10" t="n"/>
      <c r="AE39" s="10" t="n"/>
      <c r="AF39" s="10" t="n"/>
      <c r="AG39" s="13" t="n"/>
    </row>
    <row r="40">
      <c r="A40" s="10" t="n"/>
      <c r="B40" s="11">
        <f>IF($A40="","",IFERROR(INDEX(Products!$B$2:$B$61,MATCH($A40,Products!$A$2:$A$61,0)),"Add to Products"))</f>
        <v/>
      </c>
      <c r="C40" s="11">
        <f>IF($A40="","",IFERROR(INDEX(Products!$C$2:$C$61,MATCH($A40,Products!$A$2:$A$61,0)),"Add to Products"))</f>
        <v/>
      </c>
      <c r="D40" s="11">
        <f>IF($A40="","",IFERROR(INDEX(Products!$D$2:$D$61,MATCH($A40,Products!$A$2:$A$61,0)),"Add to Products"))</f>
        <v/>
      </c>
      <c r="E40" s="11">
        <f>IF($A40="","",IFERROR(INDEX(Products!$E$2:$E$61,MATCH($A40,Products!$A$2:$A$61,0)),"Add to Products"))</f>
        <v/>
      </c>
      <c r="F40" s="11">
        <f>IF($A40="","",IFERROR(INDEX(Products!$F$2:$F$61,MATCH($A40,Products!$A$2:$A$61,0)),"Add to Products"))</f>
        <v/>
      </c>
      <c r="G40" s="10" t="n"/>
      <c r="H40" s="10" t="n"/>
      <c r="I40" s="10" t="n"/>
      <c r="J40" s="10" t="n"/>
      <c r="K40" s="10" t="n"/>
      <c r="L40" s="10" t="n"/>
      <c r="M40" s="10" t="n"/>
      <c r="N40" s="10" t="n"/>
      <c r="O40" s="12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3" t="n"/>
      <c r="Y40" s="13" t="n"/>
      <c r="Z40" s="14" t="n"/>
      <c r="AA40" s="10" t="n"/>
      <c r="AB40" s="10" t="n"/>
      <c r="AC40" s="10" t="n"/>
      <c r="AD40" s="10" t="n"/>
      <c r="AE40" s="10" t="n"/>
      <c r="AF40" s="10" t="n"/>
      <c r="AG40" s="13" t="n"/>
    </row>
    <row r="41">
      <c r="A41" s="10" t="n"/>
      <c r="B41" s="11">
        <f>IF($A41="","",IFERROR(INDEX(Products!$B$2:$B$61,MATCH($A41,Products!$A$2:$A$61,0)),"Add to Products"))</f>
        <v/>
      </c>
      <c r="C41" s="11">
        <f>IF($A41="","",IFERROR(INDEX(Products!$C$2:$C$61,MATCH($A41,Products!$A$2:$A$61,0)),"Add to Products"))</f>
        <v/>
      </c>
      <c r="D41" s="11">
        <f>IF($A41="","",IFERROR(INDEX(Products!$D$2:$D$61,MATCH($A41,Products!$A$2:$A$61,0)),"Add to Products"))</f>
        <v/>
      </c>
      <c r="E41" s="11">
        <f>IF($A41="","",IFERROR(INDEX(Products!$E$2:$E$61,MATCH($A41,Products!$A$2:$A$61,0)),"Add to Products"))</f>
        <v/>
      </c>
      <c r="F41" s="11">
        <f>IF($A41="","",IFERROR(INDEX(Products!$F$2:$F$61,MATCH($A41,Products!$A$2:$A$61,0)),"Add to Products"))</f>
        <v/>
      </c>
      <c r="G41" s="10" t="n"/>
      <c r="H41" s="10" t="n"/>
      <c r="I41" s="10" t="n"/>
      <c r="J41" s="10" t="n"/>
      <c r="K41" s="10" t="n"/>
      <c r="L41" s="10" t="n"/>
      <c r="M41" s="10" t="n"/>
      <c r="N41" s="10" t="n"/>
      <c r="O41" s="12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3" t="n"/>
      <c r="Y41" s="13" t="n"/>
      <c r="Z41" s="14" t="n"/>
      <c r="AA41" s="10" t="n"/>
      <c r="AB41" s="10" t="n"/>
      <c r="AC41" s="10" t="n"/>
      <c r="AD41" s="10" t="n"/>
      <c r="AE41" s="10" t="n"/>
      <c r="AF41" s="10" t="n"/>
      <c r="AG41" s="13" t="n"/>
    </row>
    <row r="42">
      <c r="A42" s="10" t="n"/>
      <c r="B42" s="11">
        <f>IF($A42="","",IFERROR(INDEX(Products!$B$2:$B$61,MATCH($A42,Products!$A$2:$A$61,0)),"Add to Products"))</f>
        <v/>
      </c>
      <c r="C42" s="11">
        <f>IF($A42="","",IFERROR(INDEX(Products!$C$2:$C$61,MATCH($A42,Products!$A$2:$A$61,0)),"Add to Products"))</f>
        <v/>
      </c>
      <c r="D42" s="11">
        <f>IF($A42="","",IFERROR(INDEX(Products!$D$2:$D$61,MATCH($A42,Products!$A$2:$A$61,0)),"Add to Products"))</f>
        <v/>
      </c>
      <c r="E42" s="11">
        <f>IF($A42="","",IFERROR(INDEX(Products!$E$2:$E$61,MATCH($A42,Products!$A$2:$A$61,0)),"Add to Products"))</f>
        <v/>
      </c>
      <c r="F42" s="11">
        <f>IF($A42="","",IFERROR(INDEX(Products!$F$2:$F$61,MATCH($A42,Products!$A$2:$A$61,0)),"Add to Products"))</f>
        <v/>
      </c>
      <c r="G42" s="10" t="n"/>
      <c r="H42" s="10" t="n"/>
      <c r="I42" s="10" t="n"/>
      <c r="J42" s="10" t="n"/>
      <c r="K42" s="10" t="n"/>
      <c r="L42" s="10" t="n"/>
      <c r="M42" s="10" t="n"/>
      <c r="N42" s="10" t="n"/>
      <c r="O42" s="12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3" t="n"/>
      <c r="Y42" s="13" t="n"/>
      <c r="Z42" s="14" t="n"/>
      <c r="AA42" s="10" t="n"/>
      <c r="AB42" s="10" t="n"/>
      <c r="AC42" s="10" t="n"/>
      <c r="AD42" s="10" t="n"/>
      <c r="AE42" s="10" t="n"/>
      <c r="AF42" s="10" t="n"/>
      <c r="AG42" s="13" t="n"/>
    </row>
    <row r="43">
      <c r="A43" s="10" t="n"/>
      <c r="B43" s="11">
        <f>IF($A43="","",IFERROR(INDEX(Products!$B$2:$B$61,MATCH($A43,Products!$A$2:$A$61,0)),"Add to Products"))</f>
        <v/>
      </c>
      <c r="C43" s="11">
        <f>IF($A43="","",IFERROR(INDEX(Products!$C$2:$C$61,MATCH($A43,Products!$A$2:$A$61,0)),"Add to Products"))</f>
        <v/>
      </c>
      <c r="D43" s="11">
        <f>IF($A43="","",IFERROR(INDEX(Products!$D$2:$D$61,MATCH($A43,Products!$A$2:$A$61,0)),"Add to Products"))</f>
        <v/>
      </c>
      <c r="E43" s="11">
        <f>IF($A43="","",IFERROR(INDEX(Products!$E$2:$E$61,MATCH($A43,Products!$A$2:$A$61,0)),"Add to Products"))</f>
        <v/>
      </c>
      <c r="F43" s="11">
        <f>IF($A43="","",IFERROR(INDEX(Products!$F$2:$F$61,MATCH($A43,Products!$A$2:$A$61,0)),"Add to Products"))</f>
        <v/>
      </c>
      <c r="G43" s="10" t="n"/>
      <c r="H43" s="10" t="n"/>
      <c r="I43" s="10" t="n"/>
      <c r="J43" s="10" t="n"/>
      <c r="K43" s="10" t="n"/>
      <c r="L43" s="10" t="n"/>
      <c r="M43" s="10" t="n"/>
      <c r="N43" s="10" t="n"/>
      <c r="O43" s="12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3" t="n"/>
      <c r="Y43" s="13" t="n"/>
      <c r="Z43" s="14" t="n"/>
      <c r="AA43" s="10" t="n"/>
      <c r="AB43" s="10" t="n"/>
      <c r="AC43" s="10" t="n"/>
      <c r="AD43" s="10" t="n"/>
      <c r="AE43" s="10" t="n"/>
      <c r="AF43" s="10" t="n"/>
      <c r="AG43" s="13" t="n"/>
    </row>
    <row r="44">
      <c r="A44" s="10" t="n"/>
      <c r="B44" s="11">
        <f>IF($A44="","",IFERROR(INDEX(Products!$B$2:$B$61,MATCH($A44,Products!$A$2:$A$61,0)),"Add to Products"))</f>
        <v/>
      </c>
      <c r="C44" s="11">
        <f>IF($A44="","",IFERROR(INDEX(Products!$C$2:$C$61,MATCH($A44,Products!$A$2:$A$61,0)),"Add to Products"))</f>
        <v/>
      </c>
      <c r="D44" s="11">
        <f>IF($A44="","",IFERROR(INDEX(Products!$D$2:$D$61,MATCH($A44,Products!$A$2:$A$61,0)),"Add to Products"))</f>
        <v/>
      </c>
      <c r="E44" s="11">
        <f>IF($A44="","",IFERROR(INDEX(Products!$E$2:$E$61,MATCH($A44,Products!$A$2:$A$61,0)),"Add to Products"))</f>
        <v/>
      </c>
      <c r="F44" s="11">
        <f>IF($A44="","",IFERROR(INDEX(Products!$F$2:$F$61,MATCH($A44,Products!$A$2:$A$61,0)),"Add to Products"))</f>
        <v/>
      </c>
      <c r="G44" s="10" t="n"/>
      <c r="H44" s="10" t="n"/>
      <c r="I44" s="10" t="n"/>
      <c r="J44" s="10" t="n"/>
      <c r="K44" s="10" t="n"/>
      <c r="L44" s="10" t="n"/>
      <c r="M44" s="10" t="n"/>
      <c r="N44" s="10" t="n"/>
      <c r="O44" s="12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3" t="n"/>
      <c r="Y44" s="13" t="n"/>
      <c r="Z44" s="14" t="n"/>
      <c r="AA44" s="10" t="n"/>
      <c r="AB44" s="10" t="n"/>
      <c r="AC44" s="10" t="n"/>
      <c r="AD44" s="10" t="n"/>
      <c r="AE44" s="10" t="n"/>
      <c r="AF44" s="10" t="n"/>
      <c r="AG44" s="13" t="n"/>
    </row>
    <row r="45">
      <c r="A45" s="10" t="n"/>
      <c r="B45" s="11">
        <f>IF($A45="","",IFERROR(INDEX(Products!$B$2:$B$61,MATCH($A45,Products!$A$2:$A$61,0)),"Add to Products"))</f>
        <v/>
      </c>
      <c r="C45" s="11">
        <f>IF($A45="","",IFERROR(INDEX(Products!$C$2:$C$61,MATCH($A45,Products!$A$2:$A$61,0)),"Add to Products"))</f>
        <v/>
      </c>
      <c r="D45" s="11">
        <f>IF($A45="","",IFERROR(INDEX(Products!$D$2:$D$61,MATCH($A45,Products!$A$2:$A$61,0)),"Add to Products"))</f>
        <v/>
      </c>
      <c r="E45" s="11">
        <f>IF($A45="","",IFERROR(INDEX(Products!$E$2:$E$61,MATCH($A45,Products!$A$2:$A$61,0)),"Add to Products"))</f>
        <v/>
      </c>
      <c r="F45" s="11">
        <f>IF($A45="","",IFERROR(INDEX(Products!$F$2:$F$61,MATCH($A45,Products!$A$2:$A$61,0)),"Add to Products"))</f>
        <v/>
      </c>
      <c r="G45" s="10" t="n"/>
      <c r="H45" s="10" t="n"/>
      <c r="I45" s="10" t="n"/>
      <c r="J45" s="10" t="n"/>
      <c r="K45" s="10" t="n"/>
      <c r="L45" s="10" t="n"/>
      <c r="M45" s="10" t="n"/>
      <c r="N45" s="10" t="n"/>
      <c r="O45" s="12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3" t="n"/>
      <c r="Y45" s="13" t="n"/>
      <c r="Z45" s="14" t="n"/>
      <c r="AA45" s="10" t="n"/>
      <c r="AB45" s="10" t="n"/>
      <c r="AC45" s="10" t="n"/>
      <c r="AD45" s="10" t="n"/>
      <c r="AE45" s="10" t="n"/>
      <c r="AF45" s="10" t="n"/>
      <c r="AG45" s="13" t="n"/>
    </row>
    <row r="46">
      <c r="A46" s="10" t="n"/>
      <c r="B46" s="11">
        <f>IF($A46="","",IFERROR(INDEX(Products!$B$2:$B$61,MATCH($A46,Products!$A$2:$A$61,0)),"Add to Products"))</f>
        <v/>
      </c>
      <c r="C46" s="11">
        <f>IF($A46="","",IFERROR(INDEX(Products!$C$2:$C$61,MATCH($A46,Products!$A$2:$A$61,0)),"Add to Products"))</f>
        <v/>
      </c>
      <c r="D46" s="11">
        <f>IF($A46="","",IFERROR(INDEX(Products!$D$2:$D$61,MATCH($A46,Products!$A$2:$A$61,0)),"Add to Products"))</f>
        <v/>
      </c>
      <c r="E46" s="11">
        <f>IF($A46="","",IFERROR(INDEX(Products!$E$2:$E$61,MATCH($A46,Products!$A$2:$A$61,0)),"Add to Products"))</f>
        <v/>
      </c>
      <c r="F46" s="11">
        <f>IF($A46="","",IFERROR(INDEX(Products!$F$2:$F$61,MATCH($A46,Products!$A$2:$A$61,0)),"Add to Products"))</f>
        <v/>
      </c>
      <c r="G46" s="10" t="n"/>
      <c r="H46" s="10" t="n"/>
      <c r="I46" s="10" t="n"/>
      <c r="J46" s="10" t="n"/>
      <c r="K46" s="10" t="n"/>
      <c r="L46" s="10" t="n"/>
      <c r="M46" s="10" t="n"/>
      <c r="N46" s="10" t="n"/>
      <c r="O46" s="12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3" t="n"/>
      <c r="Y46" s="13" t="n"/>
      <c r="Z46" s="14" t="n"/>
      <c r="AA46" s="10" t="n"/>
      <c r="AB46" s="10" t="n"/>
      <c r="AC46" s="10" t="n"/>
      <c r="AD46" s="10" t="n"/>
      <c r="AE46" s="10" t="n"/>
      <c r="AF46" s="10" t="n"/>
      <c r="AG46" s="13" t="n"/>
    </row>
    <row r="47">
      <c r="A47" s="10" t="n"/>
      <c r="B47" s="11">
        <f>IF($A47="","",IFERROR(INDEX(Products!$B$2:$B$61,MATCH($A47,Products!$A$2:$A$61,0)),"Add to Products"))</f>
        <v/>
      </c>
      <c r="C47" s="11">
        <f>IF($A47="","",IFERROR(INDEX(Products!$C$2:$C$61,MATCH($A47,Products!$A$2:$A$61,0)),"Add to Products"))</f>
        <v/>
      </c>
      <c r="D47" s="11">
        <f>IF($A47="","",IFERROR(INDEX(Products!$D$2:$D$61,MATCH($A47,Products!$A$2:$A$61,0)),"Add to Products"))</f>
        <v/>
      </c>
      <c r="E47" s="11">
        <f>IF($A47="","",IFERROR(INDEX(Products!$E$2:$E$61,MATCH($A47,Products!$A$2:$A$61,0)),"Add to Products"))</f>
        <v/>
      </c>
      <c r="F47" s="11">
        <f>IF($A47="","",IFERROR(INDEX(Products!$F$2:$F$61,MATCH($A47,Products!$A$2:$A$61,0)),"Add to Products"))</f>
        <v/>
      </c>
      <c r="G47" s="10" t="n"/>
      <c r="H47" s="10" t="n"/>
      <c r="I47" s="10" t="n"/>
      <c r="J47" s="10" t="n"/>
      <c r="K47" s="10" t="n"/>
      <c r="L47" s="10" t="n"/>
      <c r="M47" s="10" t="n"/>
      <c r="N47" s="10" t="n"/>
      <c r="O47" s="12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3" t="n"/>
      <c r="Y47" s="13" t="n"/>
      <c r="Z47" s="14" t="n"/>
      <c r="AA47" s="10" t="n"/>
      <c r="AB47" s="10" t="n"/>
      <c r="AC47" s="10" t="n"/>
      <c r="AD47" s="10" t="n"/>
      <c r="AE47" s="10" t="n"/>
      <c r="AF47" s="10" t="n"/>
      <c r="AG47" s="13" t="n"/>
    </row>
    <row r="48">
      <c r="A48" s="10" t="n"/>
      <c r="B48" s="11">
        <f>IF($A48="","",IFERROR(INDEX(Products!$B$2:$B$61,MATCH($A48,Products!$A$2:$A$61,0)),"Add to Products"))</f>
        <v/>
      </c>
      <c r="C48" s="11">
        <f>IF($A48="","",IFERROR(INDEX(Products!$C$2:$C$61,MATCH($A48,Products!$A$2:$A$61,0)),"Add to Products"))</f>
        <v/>
      </c>
      <c r="D48" s="11">
        <f>IF($A48="","",IFERROR(INDEX(Products!$D$2:$D$61,MATCH($A48,Products!$A$2:$A$61,0)),"Add to Products"))</f>
        <v/>
      </c>
      <c r="E48" s="11">
        <f>IF($A48="","",IFERROR(INDEX(Products!$E$2:$E$61,MATCH($A48,Products!$A$2:$A$61,0)),"Add to Products"))</f>
        <v/>
      </c>
      <c r="F48" s="11">
        <f>IF($A48="","",IFERROR(INDEX(Products!$F$2:$F$61,MATCH($A48,Products!$A$2:$A$61,0)),"Add to Products"))</f>
        <v/>
      </c>
      <c r="G48" s="10" t="n"/>
      <c r="H48" s="10" t="n"/>
      <c r="I48" s="10" t="n"/>
      <c r="J48" s="10" t="n"/>
      <c r="K48" s="10" t="n"/>
      <c r="L48" s="10" t="n"/>
      <c r="M48" s="10" t="n"/>
      <c r="N48" s="10" t="n"/>
      <c r="O48" s="12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3" t="n"/>
      <c r="Y48" s="13" t="n"/>
      <c r="Z48" s="14" t="n"/>
      <c r="AA48" s="10" t="n"/>
      <c r="AB48" s="10" t="n"/>
      <c r="AC48" s="10" t="n"/>
      <c r="AD48" s="10" t="n"/>
      <c r="AE48" s="10" t="n"/>
      <c r="AF48" s="10" t="n"/>
      <c r="AG48" s="13" t="n"/>
    </row>
    <row r="49">
      <c r="A49" s="10" t="n"/>
      <c r="B49" s="11">
        <f>IF($A49="","",IFERROR(INDEX(Products!$B$2:$B$61,MATCH($A49,Products!$A$2:$A$61,0)),"Add to Products"))</f>
        <v/>
      </c>
      <c r="C49" s="11">
        <f>IF($A49="","",IFERROR(INDEX(Products!$C$2:$C$61,MATCH($A49,Products!$A$2:$A$61,0)),"Add to Products"))</f>
        <v/>
      </c>
      <c r="D49" s="11">
        <f>IF($A49="","",IFERROR(INDEX(Products!$D$2:$D$61,MATCH($A49,Products!$A$2:$A$61,0)),"Add to Products"))</f>
        <v/>
      </c>
      <c r="E49" s="11">
        <f>IF($A49="","",IFERROR(INDEX(Products!$E$2:$E$61,MATCH($A49,Products!$A$2:$A$61,0)),"Add to Products"))</f>
        <v/>
      </c>
      <c r="F49" s="11">
        <f>IF($A49="","",IFERROR(INDEX(Products!$F$2:$F$61,MATCH($A49,Products!$A$2:$A$61,0)),"Add to Products"))</f>
        <v/>
      </c>
      <c r="G49" s="10" t="n"/>
      <c r="H49" s="10" t="n"/>
      <c r="I49" s="10" t="n"/>
      <c r="J49" s="10" t="n"/>
      <c r="K49" s="10" t="n"/>
      <c r="L49" s="10" t="n"/>
      <c r="M49" s="10" t="n"/>
      <c r="N49" s="10" t="n"/>
      <c r="O49" s="12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3" t="n"/>
      <c r="Y49" s="13" t="n"/>
      <c r="Z49" s="14" t="n"/>
      <c r="AA49" s="10" t="n"/>
      <c r="AB49" s="10" t="n"/>
      <c r="AC49" s="10" t="n"/>
      <c r="AD49" s="10" t="n"/>
      <c r="AE49" s="10" t="n"/>
      <c r="AF49" s="10" t="n"/>
      <c r="AG49" s="13" t="n"/>
    </row>
    <row r="50">
      <c r="A50" s="10" t="n"/>
      <c r="B50" s="11">
        <f>IF($A50="","",IFERROR(INDEX(Products!$B$2:$B$61,MATCH($A50,Products!$A$2:$A$61,0)),"Add to Products"))</f>
        <v/>
      </c>
      <c r="C50" s="11">
        <f>IF($A50="","",IFERROR(INDEX(Products!$C$2:$C$61,MATCH($A50,Products!$A$2:$A$61,0)),"Add to Products"))</f>
        <v/>
      </c>
      <c r="D50" s="11">
        <f>IF($A50="","",IFERROR(INDEX(Products!$D$2:$D$61,MATCH($A50,Products!$A$2:$A$61,0)),"Add to Products"))</f>
        <v/>
      </c>
      <c r="E50" s="11">
        <f>IF($A50="","",IFERROR(INDEX(Products!$E$2:$E$61,MATCH($A50,Products!$A$2:$A$61,0)),"Add to Products"))</f>
        <v/>
      </c>
      <c r="F50" s="11">
        <f>IF($A50="","",IFERROR(INDEX(Products!$F$2:$F$61,MATCH($A50,Products!$A$2:$A$61,0)),"Add to Products"))</f>
        <v/>
      </c>
      <c r="G50" s="10" t="n"/>
      <c r="H50" s="10" t="n"/>
      <c r="I50" s="10" t="n"/>
      <c r="J50" s="10" t="n"/>
      <c r="K50" s="10" t="n"/>
      <c r="L50" s="10" t="n"/>
      <c r="M50" s="10" t="n"/>
      <c r="N50" s="10" t="n"/>
      <c r="O50" s="12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3" t="n"/>
      <c r="Y50" s="13" t="n"/>
      <c r="Z50" s="14" t="n"/>
      <c r="AA50" s="10" t="n"/>
      <c r="AB50" s="10" t="n"/>
      <c r="AC50" s="10" t="n"/>
      <c r="AD50" s="10" t="n"/>
      <c r="AE50" s="10" t="n"/>
      <c r="AF50" s="10" t="n"/>
      <c r="AG50" s="13" t="n"/>
    </row>
    <row r="51">
      <c r="A51" s="10" t="n"/>
      <c r="B51" s="11">
        <f>IF($A51="","",IFERROR(INDEX(Products!$B$2:$B$61,MATCH($A51,Products!$A$2:$A$61,0)),"Add to Products"))</f>
        <v/>
      </c>
      <c r="C51" s="11">
        <f>IF($A51="","",IFERROR(INDEX(Products!$C$2:$C$61,MATCH($A51,Products!$A$2:$A$61,0)),"Add to Products"))</f>
        <v/>
      </c>
      <c r="D51" s="11">
        <f>IF($A51="","",IFERROR(INDEX(Products!$D$2:$D$61,MATCH($A51,Products!$A$2:$A$61,0)),"Add to Products"))</f>
        <v/>
      </c>
      <c r="E51" s="11">
        <f>IF($A51="","",IFERROR(INDEX(Products!$E$2:$E$61,MATCH($A51,Products!$A$2:$A$61,0)),"Add to Products"))</f>
        <v/>
      </c>
      <c r="F51" s="11">
        <f>IF($A51="","",IFERROR(INDEX(Products!$F$2:$F$61,MATCH($A51,Products!$A$2:$A$61,0)),"Add to Products"))</f>
        <v/>
      </c>
      <c r="G51" s="10" t="n"/>
      <c r="H51" s="10" t="n"/>
      <c r="I51" s="10" t="n"/>
      <c r="J51" s="10" t="n"/>
      <c r="K51" s="10" t="n"/>
      <c r="L51" s="10" t="n"/>
      <c r="M51" s="10" t="n"/>
      <c r="N51" s="10" t="n"/>
      <c r="O51" s="12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3" t="n"/>
      <c r="Y51" s="13" t="n"/>
      <c r="Z51" s="14" t="n"/>
      <c r="AA51" s="10" t="n"/>
      <c r="AB51" s="10" t="n"/>
      <c r="AC51" s="10" t="n"/>
      <c r="AD51" s="10" t="n"/>
      <c r="AE51" s="10" t="n"/>
      <c r="AF51" s="10" t="n"/>
      <c r="AG51" s="13" t="n"/>
    </row>
    <row r="52">
      <c r="A52" s="10" t="n"/>
      <c r="B52" s="11">
        <f>IF($A52="","",IFERROR(INDEX(Products!$B$2:$B$61,MATCH($A52,Products!$A$2:$A$61,0)),"Add to Products"))</f>
        <v/>
      </c>
      <c r="C52" s="11">
        <f>IF($A52="","",IFERROR(INDEX(Products!$C$2:$C$61,MATCH($A52,Products!$A$2:$A$61,0)),"Add to Products"))</f>
        <v/>
      </c>
      <c r="D52" s="11">
        <f>IF($A52="","",IFERROR(INDEX(Products!$D$2:$D$61,MATCH($A52,Products!$A$2:$A$61,0)),"Add to Products"))</f>
        <v/>
      </c>
      <c r="E52" s="11">
        <f>IF($A52="","",IFERROR(INDEX(Products!$E$2:$E$61,MATCH($A52,Products!$A$2:$A$61,0)),"Add to Products"))</f>
        <v/>
      </c>
      <c r="F52" s="11">
        <f>IF($A52="","",IFERROR(INDEX(Products!$F$2:$F$61,MATCH($A52,Products!$A$2:$A$61,0)),"Add to Products"))</f>
        <v/>
      </c>
      <c r="G52" s="10" t="n"/>
      <c r="H52" s="10" t="n"/>
      <c r="I52" s="10" t="n"/>
      <c r="J52" s="10" t="n"/>
      <c r="K52" s="10" t="n"/>
      <c r="L52" s="10" t="n"/>
      <c r="M52" s="10" t="n"/>
      <c r="N52" s="10" t="n"/>
      <c r="O52" s="12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3" t="n"/>
      <c r="Y52" s="13" t="n"/>
      <c r="Z52" s="14" t="n"/>
      <c r="AA52" s="10" t="n"/>
      <c r="AB52" s="10" t="n"/>
      <c r="AC52" s="10" t="n"/>
      <c r="AD52" s="10" t="n"/>
      <c r="AE52" s="10" t="n"/>
      <c r="AF52" s="10" t="n"/>
      <c r="AG52" s="13" t="n"/>
    </row>
    <row r="53">
      <c r="A53" s="10" t="n"/>
      <c r="B53" s="11">
        <f>IF($A53="","",IFERROR(INDEX(Products!$B$2:$B$61,MATCH($A53,Products!$A$2:$A$61,0)),"Add to Products"))</f>
        <v/>
      </c>
      <c r="C53" s="11">
        <f>IF($A53="","",IFERROR(INDEX(Products!$C$2:$C$61,MATCH($A53,Products!$A$2:$A$61,0)),"Add to Products"))</f>
        <v/>
      </c>
      <c r="D53" s="11">
        <f>IF($A53="","",IFERROR(INDEX(Products!$D$2:$D$61,MATCH($A53,Products!$A$2:$A$61,0)),"Add to Products"))</f>
        <v/>
      </c>
      <c r="E53" s="11">
        <f>IF($A53="","",IFERROR(INDEX(Products!$E$2:$E$61,MATCH($A53,Products!$A$2:$A$61,0)),"Add to Products"))</f>
        <v/>
      </c>
      <c r="F53" s="11">
        <f>IF($A53="","",IFERROR(INDEX(Products!$F$2:$F$61,MATCH($A53,Products!$A$2:$A$61,0)),"Add to Products"))</f>
        <v/>
      </c>
      <c r="G53" s="10" t="n"/>
      <c r="H53" s="10" t="n"/>
      <c r="I53" s="10" t="n"/>
      <c r="J53" s="10" t="n"/>
      <c r="K53" s="10" t="n"/>
      <c r="L53" s="10" t="n"/>
      <c r="M53" s="10" t="n"/>
      <c r="N53" s="10" t="n"/>
      <c r="O53" s="12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3" t="n"/>
      <c r="Y53" s="13" t="n"/>
      <c r="Z53" s="14" t="n"/>
      <c r="AA53" s="10" t="n"/>
      <c r="AB53" s="10" t="n"/>
      <c r="AC53" s="10" t="n"/>
      <c r="AD53" s="10" t="n"/>
      <c r="AE53" s="10" t="n"/>
      <c r="AF53" s="10" t="n"/>
      <c r="AG53" s="13" t="n"/>
    </row>
    <row r="54">
      <c r="A54" s="10" t="n"/>
      <c r="B54" s="11">
        <f>IF($A54="","",IFERROR(INDEX(Products!$B$2:$B$61,MATCH($A54,Products!$A$2:$A$61,0)),"Add to Products"))</f>
        <v/>
      </c>
      <c r="C54" s="11">
        <f>IF($A54="","",IFERROR(INDEX(Products!$C$2:$C$61,MATCH($A54,Products!$A$2:$A$61,0)),"Add to Products"))</f>
        <v/>
      </c>
      <c r="D54" s="11">
        <f>IF($A54="","",IFERROR(INDEX(Products!$D$2:$D$61,MATCH($A54,Products!$A$2:$A$61,0)),"Add to Products"))</f>
        <v/>
      </c>
      <c r="E54" s="11">
        <f>IF($A54="","",IFERROR(INDEX(Products!$E$2:$E$61,MATCH($A54,Products!$A$2:$A$61,0)),"Add to Products"))</f>
        <v/>
      </c>
      <c r="F54" s="11">
        <f>IF($A54="","",IFERROR(INDEX(Products!$F$2:$F$61,MATCH($A54,Products!$A$2:$A$61,0)),"Add to Products"))</f>
        <v/>
      </c>
      <c r="G54" s="10" t="n"/>
      <c r="H54" s="10" t="n"/>
      <c r="I54" s="10" t="n"/>
      <c r="J54" s="10" t="n"/>
      <c r="K54" s="10" t="n"/>
      <c r="L54" s="10" t="n"/>
      <c r="M54" s="10" t="n"/>
      <c r="N54" s="10" t="n"/>
      <c r="O54" s="12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3" t="n"/>
      <c r="Y54" s="13" t="n"/>
      <c r="Z54" s="14" t="n"/>
      <c r="AA54" s="10" t="n"/>
      <c r="AB54" s="10" t="n"/>
      <c r="AC54" s="10" t="n"/>
      <c r="AD54" s="10" t="n"/>
      <c r="AE54" s="10" t="n"/>
      <c r="AF54" s="10" t="n"/>
      <c r="AG54" s="13" t="n"/>
    </row>
    <row r="55">
      <c r="A55" s="10" t="n"/>
      <c r="B55" s="11">
        <f>IF($A55="","",IFERROR(INDEX(Products!$B$2:$B$61,MATCH($A55,Products!$A$2:$A$61,0)),"Add to Products"))</f>
        <v/>
      </c>
      <c r="C55" s="11">
        <f>IF($A55="","",IFERROR(INDEX(Products!$C$2:$C$61,MATCH($A55,Products!$A$2:$A$61,0)),"Add to Products"))</f>
        <v/>
      </c>
      <c r="D55" s="11">
        <f>IF($A55="","",IFERROR(INDEX(Products!$D$2:$D$61,MATCH($A55,Products!$A$2:$A$61,0)),"Add to Products"))</f>
        <v/>
      </c>
      <c r="E55" s="11">
        <f>IF($A55="","",IFERROR(INDEX(Products!$E$2:$E$61,MATCH($A55,Products!$A$2:$A$61,0)),"Add to Products"))</f>
        <v/>
      </c>
      <c r="F55" s="11">
        <f>IF($A55="","",IFERROR(INDEX(Products!$F$2:$F$61,MATCH($A55,Products!$A$2:$A$61,0)),"Add to Products"))</f>
        <v/>
      </c>
      <c r="G55" s="10" t="n"/>
      <c r="H55" s="10" t="n"/>
      <c r="I55" s="10" t="n"/>
      <c r="J55" s="10" t="n"/>
      <c r="K55" s="10" t="n"/>
      <c r="L55" s="10" t="n"/>
      <c r="M55" s="10" t="n"/>
      <c r="N55" s="10" t="n"/>
      <c r="O55" s="12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3" t="n"/>
      <c r="Y55" s="13" t="n"/>
      <c r="Z55" s="14" t="n"/>
      <c r="AA55" s="10" t="n"/>
      <c r="AB55" s="10" t="n"/>
      <c r="AC55" s="10" t="n"/>
      <c r="AD55" s="10" t="n"/>
      <c r="AE55" s="10" t="n"/>
      <c r="AF55" s="10" t="n"/>
      <c r="AG55" s="13" t="n"/>
    </row>
    <row r="56">
      <c r="A56" s="10" t="n"/>
      <c r="B56" s="11">
        <f>IF($A56="","",IFERROR(INDEX(Products!$B$2:$B$61,MATCH($A56,Products!$A$2:$A$61,0)),"Add to Products"))</f>
        <v/>
      </c>
      <c r="C56" s="11">
        <f>IF($A56="","",IFERROR(INDEX(Products!$C$2:$C$61,MATCH($A56,Products!$A$2:$A$61,0)),"Add to Products"))</f>
        <v/>
      </c>
      <c r="D56" s="11">
        <f>IF($A56="","",IFERROR(INDEX(Products!$D$2:$D$61,MATCH($A56,Products!$A$2:$A$61,0)),"Add to Products"))</f>
        <v/>
      </c>
      <c r="E56" s="11">
        <f>IF($A56="","",IFERROR(INDEX(Products!$E$2:$E$61,MATCH($A56,Products!$A$2:$A$61,0)),"Add to Products"))</f>
        <v/>
      </c>
      <c r="F56" s="11">
        <f>IF($A56="","",IFERROR(INDEX(Products!$F$2:$F$61,MATCH($A56,Products!$A$2:$A$61,0)),"Add to Products"))</f>
        <v/>
      </c>
      <c r="G56" s="10" t="n"/>
      <c r="H56" s="10" t="n"/>
      <c r="I56" s="10" t="n"/>
      <c r="J56" s="10" t="n"/>
      <c r="K56" s="10" t="n"/>
      <c r="L56" s="10" t="n"/>
      <c r="M56" s="10" t="n"/>
      <c r="N56" s="10" t="n"/>
      <c r="O56" s="12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3" t="n"/>
      <c r="Y56" s="13" t="n"/>
      <c r="Z56" s="14" t="n"/>
      <c r="AA56" s="10" t="n"/>
      <c r="AB56" s="10" t="n"/>
      <c r="AC56" s="10" t="n"/>
      <c r="AD56" s="10" t="n"/>
      <c r="AE56" s="10" t="n"/>
      <c r="AF56" s="10" t="n"/>
      <c r="AG56" s="13" t="n"/>
    </row>
    <row r="57">
      <c r="A57" s="10" t="n"/>
      <c r="B57" s="11">
        <f>IF($A57="","",IFERROR(INDEX(Products!$B$2:$B$61,MATCH($A57,Products!$A$2:$A$61,0)),"Add to Products"))</f>
        <v/>
      </c>
      <c r="C57" s="11">
        <f>IF($A57="","",IFERROR(INDEX(Products!$C$2:$C$61,MATCH($A57,Products!$A$2:$A$61,0)),"Add to Products"))</f>
        <v/>
      </c>
      <c r="D57" s="11">
        <f>IF($A57="","",IFERROR(INDEX(Products!$D$2:$D$61,MATCH($A57,Products!$A$2:$A$61,0)),"Add to Products"))</f>
        <v/>
      </c>
      <c r="E57" s="11">
        <f>IF($A57="","",IFERROR(INDEX(Products!$E$2:$E$61,MATCH($A57,Products!$A$2:$A$61,0)),"Add to Products"))</f>
        <v/>
      </c>
      <c r="F57" s="11">
        <f>IF($A57="","",IFERROR(INDEX(Products!$F$2:$F$61,MATCH($A57,Products!$A$2:$A$61,0)),"Add to Products"))</f>
        <v/>
      </c>
      <c r="G57" s="10" t="n"/>
      <c r="H57" s="10" t="n"/>
      <c r="I57" s="10" t="n"/>
      <c r="J57" s="10" t="n"/>
      <c r="K57" s="10" t="n"/>
      <c r="L57" s="10" t="n"/>
      <c r="M57" s="10" t="n"/>
      <c r="N57" s="10" t="n"/>
      <c r="O57" s="12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3" t="n"/>
      <c r="Y57" s="13" t="n"/>
      <c r="Z57" s="14" t="n"/>
      <c r="AA57" s="10" t="n"/>
      <c r="AB57" s="10" t="n"/>
      <c r="AC57" s="10" t="n"/>
      <c r="AD57" s="10" t="n"/>
      <c r="AE57" s="10" t="n"/>
      <c r="AF57" s="10" t="n"/>
      <c r="AG57" s="13" t="n"/>
    </row>
    <row r="58">
      <c r="A58" s="10" t="n"/>
      <c r="B58" s="11">
        <f>IF($A58="","",IFERROR(INDEX(Products!$B$2:$B$61,MATCH($A58,Products!$A$2:$A$61,0)),"Add to Products"))</f>
        <v/>
      </c>
      <c r="C58" s="11">
        <f>IF($A58="","",IFERROR(INDEX(Products!$C$2:$C$61,MATCH($A58,Products!$A$2:$A$61,0)),"Add to Products"))</f>
        <v/>
      </c>
      <c r="D58" s="11">
        <f>IF($A58="","",IFERROR(INDEX(Products!$D$2:$D$61,MATCH($A58,Products!$A$2:$A$61,0)),"Add to Products"))</f>
        <v/>
      </c>
      <c r="E58" s="11">
        <f>IF($A58="","",IFERROR(INDEX(Products!$E$2:$E$61,MATCH($A58,Products!$A$2:$A$61,0)),"Add to Products"))</f>
        <v/>
      </c>
      <c r="F58" s="11">
        <f>IF($A58="","",IFERROR(INDEX(Products!$F$2:$F$61,MATCH($A58,Products!$A$2:$A$61,0)),"Add to Products"))</f>
        <v/>
      </c>
      <c r="G58" s="10" t="n"/>
      <c r="H58" s="10" t="n"/>
      <c r="I58" s="10" t="n"/>
      <c r="J58" s="10" t="n"/>
      <c r="K58" s="10" t="n"/>
      <c r="L58" s="10" t="n"/>
      <c r="M58" s="10" t="n"/>
      <c r="N58" s="10" t="n"/>
      <c r="O58" s="12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3" t="n"/>
      <c r="Y58" s="13" t="n"/>
      <c r="Z58" s="14" t="n"/>
      <c r="AA58" s="10" t="n"/>
      <c r="AB58" s="10" t="n"/>
      <c r="AC58" s="10" t="n"/>
      <c r="AD58" s="10" t="n"/>
      <c r="AE58" s="10" t="n"/>
      <c r="AF58" s="10" t="n"/>
      <c r="AG58" s="13" t="n"/>
    </row>
    <row r="59">
      <c r="A59" s="10" t="n"/>
      <c r="B59" s="11">
        <f>IF($A59="","",IFERROR(INDEX(Products!$B$2:$B$61,MATCH($A59,Products!$A$2:$A$61,0)),"Add to Products"))</f>
        <v/>
      </c>
      <c r="C59" s="11">
        <f>IF($A59="","",IFERROR(INDEX(Products!$C$2:$C$61,MATCH($A59,Products!$A$2:$A$61,0)),"Add to Products"))</f>
        <v/>
      </c>
      <c r="D59" s="11">
        <f>IF($A59="","",IFERROR(INDEX(Products!$D$2:$D$61,MATCH($A59,Products!$A$2:$A$61,0)),"Add to Products"))</f>
        <v/>
      </c>
      <c r="E59" s="11">
        <f>IF($A59="","",IFERROR(INDEX(Products!$E$2:$E$61,MATCH($A59,Products!$A$2:$A$61,0)),"Add to Products"))</f>
        <v/>
      </c>
      <c r="F59" s="11">
        <f>IF($A59="","",IFERROR(INDEX(Products!$F$2:$F$61,MATCH($A59,Products!$A$2:$A$61,0)),"Add to Products"))</f>
        <v/>
      </c>
      <c r="G59" s="10" t="n"/>
      <c r="H59" s="10" t="n"/>
      <c r="I59" s="10" t="n"/>
      <c r="J59" s="10" t="n"/>
      <c r="K59" s="10" t="n"/>
      <c r="L59" s="10" t="n"/>
      <c r="M59" s="10" t="n"/>
      <c r="N59" s="10" t="n"/>
      <c r="O59" s="12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3" t="n"/>
      <c r="Y59" s="13" t="n"/>
      <c r="Z59" s="14" t="n"/>
      <c r="AA59" s="10" t="n"/>
      <c r="AB59" s="10" t="n"/>
      <c r="AC59" s="10" t="n"/>
      <c r="AD59" s="10" t="n"/>
      <c r="AE59" s="10" t="n"/>
      <c r="AF59" s="10" t="n"/>
      <c r="AG59" s="13" t="n"/>
    </row>
    <row r="60">
      <c r="A60" s="10" t="n"/>
      <c r="B60" s="11">
        <f>IF($A60="","",IFERROR(INDEX(Products!$B$2:$B$61,MATCH($A60,Products!$A$2:$A$61,0)),"Add to Products"))</f>
        <v/>
      </c>
      <c r="C60" s="11">
        <f>IF($A60="","",IFERROR(INDEX(Products!$C$2:$C$61,MATCH($A60,Products!$A$2:$A$61,0)),"Add to Products"))</f>
        <v/>
      </c>
      <c r="D60" s="11">
        <f>IF($A60="","",IFERROR(INDEX(Products!$D$2:$D$61,MATCH($A60,Products!$A$2:$A$61,0)),"Add to Products"))</f>
        <v/>
      </c>
      <c r="E60" s="11">
        <f>IF($A60="","",IFERROR(INDEX(Products!$E$2:$E$61,MATCH($A60,Products!$A$2:$A$61,0)),"Add to Products"))</f>
        <v/>
      </c>
      <c r="F60" s="11">
        <f>IF($A60="","",IFERROR(INDEX(Products!$F$2:$F$61,MATCH($A60,Products!$A$2:$A$61,0)),"Add to Products"))</f>
        <v/>
      </c>
      <c r="G60" s="10" t="n"/>
      <c r="H60" s="10" t="n"/>
      <c r="I60" s="10" t="n"/>
      <c r="J60" s="10" t="n"/>
      <c r="K60" s="10" t="n"/>
      <c r="L60" s="10" t="n"/>
      <c r="M60" s="10" t="n"/>
      <c r="N60" s="10" t="n"/>
      <c r="O60" s="12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3" t="n"/>
      <c r="Y60" s="13" t="n"/>
      <c r="Z60" s="14" t="n"/>
      <c r="AA60" s="10" t="n"/>
      <c r="AB60" s="10" t="n"/>
      <c r="AC60" s="10" t="n"/>
      <c r="AD60" s="10" t="n"/>
      <c r="AE60" s="10" t="n"/>
      <c r="AF60" s="10" t="n"/>
      <c r="AG60" s="13" t="n"/>
    </row>
    <row r="61">
      <c r="A61" s="10" t="n"/>
      <c r="B61" s="11">
        <f>IF($A61="","",IFERROR(INDEX(Products!$B$2:$B$61,MATCH($A61,Products!$A$2:$A$61,0)),"Add to Products"))</f>
        <v/>
      </c>
      <c r="C61" s="11">
        <f>IF($A61="","",IFERROR(INDEX(Products!$C$2:$C$61,MATCH($A61,Products!$A$2:$A$61,0)),"Add to Products"))</f>
        <v/>
      </c>
      <c r="D61" s="11">
        <f>IF($A61="","",IFERROR(INDEX(Products!$D$2:$D$61,MATCH($A61,Products!$A$2:$A$61,0)),"Add to Products"))</f>
        <v/>
      </c>
      <c r="E61" s="11">
        <f>IF($A61="","",IFERROR(INDEX(Products!$E$2:$E$61,MATCH($A61,Products!$A$2:$A$61,0)),"Add to Products"))</f>
        <v/>
      </c>
      <c r="F61" s="11">
        <f>IF($A61="","",IFERROR(INDEX(Products!$F$2:$F$61,MATCH($A61,Products!$A$2:$A$61,0)),"Add to Products"))</f>
        <v/>
      </c>
      <c r="G61" s="10" t="n"/>
      <c r="H61" s="10" t="n"/>
      <c r="I61" s="10" t="n"/>
      <c r="J61" s="10" t="n"/>
      <c r="K61" s="10" t="n"/>
      <c r="L61" s="10" t="n"/>
      <c r="M61" s="10" t="n"/>
      <c r="N61" s="10" t="n"/>
      <c r="O61" s="12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3" t="n"/>
      <c r="Y61" s="13" t="n"/>
      <c r="Z61" s="14" t="n"/>
      <c r="AA61" s="10" t="n"/>
      <c r="AB61" s="10" t="n"/>
      <c r="AC61" s="10" t="n"/>
      <c r="AD61" s="10" t="n"/>
      <c r="AE61" s="10" t="n"/>
      <c r="AF61" s="10" t="n"/>
      <c r="AG61" s="13" t="n"/>
    </row>
    <row r="62">
      <c r="A62" s="10" t="n"/>
      <c r="B62" s="11">
        <f>IF($A62="","",IFERROR(INDEX(Products!$B$2:$B$61,MATCH($A62,Products!$A$2:$A$61,0)),"Add to Products"))</f>
        <v/>
      </c>
      <c r="C62" s="11">
        <f>IF($A62="","",IFERROR(INDEX(Products!$C$2:$C$61,MATCH($A62,Products!$A$2:$A$61,0)),"Add to Products"))</f>
        <v/>
      </c>
      <c r="D62" s="11">
        <f>IF($A62="","",IFERROR(INDEX(Products!$D$2:$D$61,MATCH($A62,Products!$A$2:$A$61,0)),"Add to Products"))</f>
        <v/>
      </c>
      <c r="E62" s="11">
        <f>IF($A62="","",IFERROR(INDEX(Products!$E$2:$E$61,MATCH($A62,Products!$A$2:$A$61,0)),"Add to Products"))</f>
        <v/>
      </c>
      <c r="F62" s="11">
        <f>IF($A62="","",IFERROR(INDEX(Products!$F$2:$F$61,MATCH($A62,Products!$A$2:$A$61,0)),"Add to Products"))</f>
        <v/>
      </c>
      <c r="G62" s="10" t="n"/>
      <c r="H62" s="10" t="n"/>
      <c r="I62" s="10" t="n"/>
      <c r="J62" s="10" t="n"/>
      <c r="K62" s="10" t="n"/>
      <c r="L62" s="10" t="n"/>
      <c r="M62" s="10" t="n"/>
      <c r="N62" s="10" t="n"/>
      <c r="O62" s="12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3" t="n"/>
      <c r="Y62" s="13" t="n"/>
      <c r="Z62" s="14" t="n"/>
      <c r="AA62" s="10" t="n"/>
      <c r="AB62" s="10" t="n"/>
      <c r="AC62" s="10" t="n"/>
      <c r="AD62" s="10" t="n"/>
      <c r="AE62" s="10" t="n"/>
      <c r="AF62" s="10" t="n"/>
      <c r="AG62" s="13" t="n"/>
    </row>
    <row r="63">
      <c r="A63" s="10" t="n"/>
      <c r="B63" s="11">
        <f>IF($A63="","",IFERROR(INDEX(Products!$B$2:$B$61,MATCH($A63,Products!$A$2:$A$61,0)),"Add to Products"))</f>
        <v/>
      </c>
      <c r="C63" s="11">
        <f>IF($A63="","",IFERROR(INDEX(Products!$C$2:$C$61,MATCH($A63,Products!$A$2:$A$61,0)),"Add to Products"))</f>
        <v/>
      </c>
      <c r="D63" s="11">
        <f>IF($A63="","",IFERROR(INDEX(Products!$D$2:$D$61,MATCH($A63,Products!$A$2:$A$61,0)),"Add to Products"))</f>
        <v/>
      </c>
      <c r="E63" s="11">
        <f>IF($A63="","",IFERROR(INDEX(Products!$E$2:$E$61,MATCH($A63,Products!$A$2:$A$61,0)),"Add to Products"))</f>
        <v/>
      </c>
      <c r="F63" s="11">
        <f>IF($A63="","",IFERROR(INDEX(Products!$F$2:$F$61,MATCH($A63,Products!$A$2:$A$61,0)),"Add to Products"))</f>
        <v/>
      </c>
      <c r="G63" s="10" t="n"/>
      <c r="H63" s="10" t="n"/>
      <c r="I63" s="10" t="n"/>
      <c r="J63" s="10" t="n"/>
      <c r="K63" s="10" t="n"/>
      <c r="L63" s="10" t="n"/>
      <c r="M63" s="10" t="n"/>
      <c r="N63" s="10" t="n"/>
      <c r="O63" s="12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3" t="n"/>
      <c r="Y63" s="13" t="n"/>
      <c r="Z63" s="14" t="n"/>
      <c r="AA63" s="10" t="n"/>
      <c r="AB63" s="10" t="n"/>
      <c r="AC63" s="10" t="n"/>
      <c r="AD63" s="10" t="n"/>
      <c r="AE63" s="10" t="n"/>
      <c r="AF63" s="10" t="n"/>
      <c r="AG63" s="13" t="n"/>
    </row>
    <row r="64">
      <c r="A64" s="10" t="n"/>
      <c r="B64" s="11">
        <f>IF($A64="","",IFERROR(INDEX(Products!$B$2:$B$61,MATCH($A64,Products!$A$2:$A$61,0)),"Add to Products"))</f>
        <v/>
      </c>
      <c r="C64" s="11">
        <f>IF($A64="","",IFERROR(INDEX(Products!$C$2:$C$61,MATCH($A64,Products!$A$2:$A$61,0)),"Add to Products"))</f>
        <v/>
      </c>
      <c r="D64" s="11">
        <f>IF($A64="","",IFERROR(INDEX(Products!$D$2:$D$61,MATCH($A64,Products!$A$2:$A$61,0)),"Add to Products"))</f>
        <v/>
      </c>
      <c r="E64" s="11">
        <f>IF($A64="","",IFERROR(INDEX(Products!$E$2:$E$61,MATCH($A64,Products!$A$2:$A$61,0)),"Add to Products"))</f>
        <v/>
      </c>
      <c r="F64" s="11">
        <f>IF($A64="","",IFERROR(INDEX(Products!$F$2:$F$61,MATCH($A64,Products!$A$2:$A$61,0)),"Add to Products"))</f>
        <v/>
      </c>
      <c r="G64" s="10" t="n"/>
      <c r="H64" s="10" t="n"/>
      <c r="I64" s="10" t="n"/>
      <c r="J64" s="10" t="n"/>
      <c r="K64" s="10" t="n"/>
      <c r="L64" s="10" t="n"/>
      <c r="M64" s="10" t="n"/>
      <c r="N64" s="10" t="n"/>
      <c r="O64" s="12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3" t="n"/>
      <c r="Y64" s="13" t="n"/>
      <c r="Z64" s="14" t="n"/>
      <c r="AA64" s="10" t="n"/>
      <c r="AB64" s="10" t="n"/>
      <c r="AC64" s="10" t="n"/>
      <c r="AD64" s="10" t="n"/>
      <c r="AE64" s="10" t="n"/>
      <c r="AF64" s="10" t="n"/>
      <c r="AG64" s="13" t="n"/>
    </row>
    <row r="65">
      <c r="A65" s="10" t="n"/>
      <c r="B65" s="11">
        <f>IF($A65="","",IFERROR(INDEX(Products!$B$2:$B$61,MATCH($A65,Products!$A$2:$A$61,0)),"Add to Products"))</f>
        <v/>
      </c>
      <c r="C65" s="11">
        <f>IF($A65="","",IFERROR(INDEX(Products!$C$2:$C$61,MATCH($A65,Products!$A$2:$A$61,0)),"Add to Products"))</f>
        <v/>
      </c>
      <c r="D65" s="11">
        <f>IF($A65="","",IFERROR(INDEX(Products!$D$2:$D$61,MATCH($A65,Products!$A$2:$A$61,0)),"Add to Products"))</f>
        <v/>
      </c>
      <c r="E65" s="11">
        <f>IF($A65="","",IFERROR(INDEX(Products!$E$2:$E$61,MATCH($A65,Products!$A$2:$A$61,0)),"Add to Products"))</f>
        <v/>
      </c>
      <c r="F65" s="11">
        <f>IF($A65="","",IFERROR(INDEX(Products!$F$2:$F$61,MATCH($A65,Products!$A$2:$A$61,0)),"Add to Products"))</f>
        <v/>
      </c>
      <c r="G65" s="10" t="n"/>
      <c r="H65" s="10" t="n"/>
      <c r="I65" s="10" t="n"/>
      <c r="J65" s="10" t="n"/>
      <c r="K65" s="10" t="n"/>
      <c r="L65" s="10" t="n"/>
      <c r="M65" s="10" t="n"/>
      <c r="N65" s="10" t="n"/>
      <c r="O65" s="12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3" t="n"/>
      <c r="Y65" s="13" t="n"/>
      <c r="Z65" s="14" t="n"/>
      <c r="AA65" s="10" t="n"/>
      <c r="AB65" s="10" t="n"/>
      <c r="AC65" s="10" t="n"/>
      <c r="AD65" s="10" t="n"/>
      <c r="AE65" s="10" t="n"/>
      <c r="AF65" s="10" t="n"/>
      <c r="AG65" s="13" t="n"/>
    </row>
    <row r="66">
      <c r="A66" s="10" t="n"/>
      <c r="B66" s="11">
        <f>IF($A66="","",IFERROR(INDEX(Products!$B$2:$B$61,MATCH($A66,Products!$A$2:$A$61,0)),"Add to Products"))</f>
        <v/>
      </c>
      <c r="C66" s="11">
        <f>IF($A66="","",IFERROR(INDEX(Products!$C$2:$C$61,MATCH($A66,Products!$A$2:$A$61,0)),"Add to Products"))</f>
        <v/>
      </c>
      <c r="D66" s="11">
        <f>IF($A66="","",IFERROR(INDEX(Products!$D$2:$D$61,MATCH($A66,Products!$A$2:$A$61,0)),"Add to Products"))</f>
        <v/>
      </c>
      <c r="E66" s="11">
        <f>IF($A66="","",IFERROR(INDEX(Products!$E$2:$E$61,MATCH($A66,Products!$A$2:$A$61,0)),"Add to Products"))</f>
        <v/>
      </c>
      <c r="F66" s="11">
        <f>IF($A66="","",IFERROR(INDEX(Products!$F$2:$F$61,MATCH($A66,Products!$A$2:$A$61,0)),"Add to Products"))</f>
        <v/>
      </c>
      <c r="G66" s="10" t="n"/>
      <c r="H66" s="10" t="n"/>
      <c r="I66" s="10" t="n"/>
      <c r="J66" s="10" t="n"/>
      <c r="K66" s="10" t="n"/>
      <c r="L66" s="10" t="n"/>
      <c r="M66" s="10" t="n"/>
      <c r="N66" s="10" t="n"/>
      <c r="O66" s="12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3" t="n"/>
      <c r="Y66" s="13" t="n"/>
      <c r="Z66" s="14" t="n"/>
      <c r="AA66" s="10" t="n"/>
      <c r="AB66" s="10" t="n"/>
      <c r="AC66" s="10" t="n"/>
      <c r="AD66" s="10" t="n"/>
      <c r="AE66" s="10" t="n"/>
      <c r="AF66" s="10" t="n"/>
      <c r="AG66" s="13" t="n"/>
    </row>
    <row r="67">
      <c r="A67" s="10" t="n"/>
      <c r="B67" s="11">
        <f>IF($A67="","",IFERROR(INDEX(Products!$B$2:$B$61,MATCH($A67,Products!$A$2:$A$61,0)),"Add to Products"))</f>
        <v/>
      </c>
      <c r="C67" s="11">
        <f>IF($A67="","",IFERROR(INDEX(Products!$C$2:$C$61,MATCH($A67,Products!$A$2:$A$61,0)),"Add to Products"))</f>
        <v/>
      </c>
      <c r="D67" s="11">
        <f>IF($A67="","",IFERROR(INDEX(Products!$D$2:$D$61,MATCH($A67,Products!$A$2:$A$61,0)),"Add to Products"))</f>
        <v/>
      </c>
      <c r="E67" s="11">
        <f>IF($A67="","",IFERROR(INDEX(Products!$E$2:$E$61,MATCH($A67,Products!$A$2:$A$61,0)),"Add to Products"))</f>
        <v/>
      </c>
      <c r="F67" s="11">
        <f>IF($A67="","",IFERROR(INDEX(Products!$F$2:$F$61,MATCH($A67,Products!$A$2:$A$61,0)),"Add to Products"))</f>
        <v/>
      </c>
      <c r="G67" s="10" t="n"/>
      <c r="H67" s="10" t="n"/>
      <c r="I67" s="10" t="n"/>
      <c r="J67" s="10" t="n"/>
      <c r="K67" s="10" t="n"/>
      <c r="L67" s="10" t="n"/>
      <c r="M67" s="10" t="n"/>
      <c r="N67" s="10" t="n"/>
      <c r="O67" s="12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3" t="n"/>
      <c r="Y67" s="13" t="n"/>
      <c r="Z67" s="14" t="n"/>
      <c r="AA67" s="10" t="n"/>
      <c r="AB67" s="10" t="n"/>
      <c r="AC67" s="10" t="n"/>
      <c r="AD67" s="10" t="n"/>
      <c r="AE67" s="10" t="n"/>
      <c r="AF67" s="10" t="n"/>
      <c r="AG67" s="13" t="n"/>
    </row>
    <row r="68">
      <c r="A68" s="10" t="n"/>
      <c r="B68" s="11">
        <f>IF($A68="","",IFERROR(INDEX(Products!$B$2:$B$61,MATCH($A68,Products!$A$2:$A$61,0)),"Add to Products"))</f>
        <v/>
      </c>
      <c r="C68" s="11">
        <f>IF($A68="","",IFERROR(INDEX(Products!$C$2:$C$61,MATCH($A68,Products!$A$2:$A$61,0)),"Add to Products"))</f>
        <v/>
      </c>
      <c r="D68" s="11">
        <f>IF($A68="","",IFERROR(INDEX(Products!$D$2:$D$61,MATCH($A68,Products!$A$2:$A$61,0)),"Add to Products"))</f>
        <v/>
      </c>
      <c r="E68" s="11">
        <f>IF($A68="","",IFERROR(INDEX(Products!$E$2:$E$61,MATCH($A68,Products!$A$2:$A$61,0)),"Add to Products"))</f>
        <v/>
      </c>
      <c r="F68" s="11">
        <f>IF($A68="","",IFERROR(INDEX(Products!$F$2:$F$61,MATCH($A68,Products!$A$2:$A$61,0)),"Add to Products"))</f>
        <v/>
      </c>
      <c r="G68" s="10" t="n"/>
      <c r="H68" s="10" t="n"/>
      <c r="I68" s="10" t="n"/>
      <c r="J68" s="10" t="n"/>
      <c r="K68" s="10" t="n"/>
      <c r="L68" s="10" t="n"/>
      <c r="M68" s="10" t="n"/>
      <c r="N68" s="10" t="n"/>
      <c r="O68" s="12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3" t="n"/>
      <c r="Y68" s="13" t="n"/>
      <c r="Z68" s="14" t="n"/>
      <c r="AA68" s="10" t="n"/>
      <c r="AB68" s="10" t="n"/>
      <c r="AC68" s="10" t="n"/>
      <c r="AD68" s="10" t="n"/>
      <c r="AE68" s="10" t="n"/>
      <c r="AF68" s="10" t="n"/>
      <c r="AG68" s="13" t="n"/>
    </row>
    <row r="69">
      <c r="A69" s="10" t="n"/>
      <c r="B69" s="11">
        <f>IF($A69="","",IFERROR(INDEX(Products!$B$2:$B$61,MATCH($A69,Products!$A$2:$A$61,0)),"Add to Products"))</f>
        <v/>
      </c>
      <c r="C69" s="11">
        <f>IF($A69="","",IFERROR(INDEX(Products!$C$2:$C$61,MATCH($A69,Products!$A$2:$A$61,0)),"Add to Products"))</f>
        <v/>
      </c>
      <c r="D69" s="11">
        <f>IF($A69="","",IFERROR(INDEX(Products!$D$2:$D$61,MATCH($A69,Products!$A$2:$A$61,0)),"Add to Products"))</f>
        <v/>
      </c>
      <c r="E69" s="11">
        <f>IF($A69="","",IFERROR(INDEX(Products!$E$2:$E$61,MATCH($A69,Products!$A$2:$A$61,0)),"Add to Products"))</f>
        <v/>
      </c>
      <c r="F69" s="11">
        <f>IF($A69="","",IFERROR(INDEX(Products!$F$2:$F$61,MATCH($A69,Products!$A$2:$A$61,0)),"Add to Products"))</f>
        <v/>
      </c>
      <c r="G69" s="10" t="n"/>
      <c r="H69" s="10" t="n"/>
      <c r="I69" s="10" t="n"/>
      <c r="J69" s="10" t="n"/>
      <c r="K69" s="10" t="n"/>
      <c r="L69" s="10" t="n"/>
      <c r="M69" s="10" t="n"/>
      <c r="N69" s="10" t="n"/>
      <c r="O69" s="12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3" t="n"/>
      <c r="Y69" s="13" t="n"/>
      <c r="Z69" s="14" t="n"/>
      <c r="AA69" s="10" t="n"/>
      <c r="AB69" s="10" t="n"/>
      <c r="AC69" s="10" t="n"/>
      <c r="AD69" s="10" t="n"/>
      <c r="AE69" s="10" t="n"/>
      <c r="AF69" s="10" t="n"/>
      <c r="AG69" s="13" t="n"/>
    </row>
    <row r="70">
      <c r="A70" s="10" t="n"/>
      <c r="B70" s="11">
        <f>IF($A70="","",IFERROR(INDEX(Products!$B$2:$B$61,MATCH($A70,Products!$A$2:$A$61,0)),"Add to Products"))</f>
        <v/>
      </c>
      <c r="C70" s="11">
        <f>IF($A70="","",IFERROR(INDEX(Products!$C$2:$C$61,MATCH($A70,Products!$A$2:$A$61,0)),"Add to Products"))</f>
        <v/>
      </c>
      <c r="D70" s="11">
        <f>IF($A70="","",IFERROR(INDEX(Products!$D$2:$D$61,MATCH($A70,Products!$A$2:$A$61,0)),"Add to Products"))</f>
        <v/>
      </c>
      <c r="E70" s="11">
        <f>IF($A70="","",IFERROR(INDEX(Products!$E$2:$E$61,MATCH($A70,Products!$A$2:$A$61,0)),"Add to Products"))</f>
        <v/>
      </c>
      <c r="F70" s="11">
        <f>IF($A70="","",IFERROR(INDEX(Products!$F$2:$F$61,MATCH($A70,Products!$A$2:$A$61,0)),"Add to Products"))</f>
        <v/>
      </c>
      <c r="G70" s="10" t="n"/>
      <c r="H70" s="10" t="n"/>
      <c r="I70" s="10" t="n"/>
      <c r="J70" s="10" t="n"/>
      <c r="K70" s="10" t="n"/>
      <c r="L70" s="10" t="n"/>
      <c r="M70" s="10" t="n"/>
      <c r="N70" s="10" t="n"/>
      <c r="O70" s="12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3" t="n"/>
      <c r="Y70" s="13" t="n"/>
      <c r="Z70" s="14" t="n"/>
      <c r="AA70" s="10" t="n"/>
      <c r="AB70" s="10" t="n"/>
      <c r="AC70" s="10" t="n"/>
      <c r="AD70" s="10" t="n"/>
      <c r="AE70" s="10" t="n"/>
      <c r="AF70" s="10" t="n"/>
      <c r="AG70" s="13" t="n"/>
    </row>
    <row r="71">
      <c r="A71" s="10" t="n"/>
      <c r="B71" s="11">
        <f>IF($A71="","",IFERROR(INDEX(Products!$B$2:$B$61,MATCH($A71,Products!$A$2:$A$61,0)),"Add to Products"))</f>
        <v/>
      </c>
      <c r="C71" s="11">
        <f>IF($A71="","",IFERROR(INDEX(Products!$C$2:$C$61,MATCH($A71,Products!$A$2:$A$61,0)),"Add to Products"))</f>
        <v/>
      </c>
      <c r="D71" s="11">
        <f>IF($A71="","",IFERROR(INDEX(Products!$D$2:$D$61,MATCH($A71,Products!$A$2:$A$61,0)),"Add to Products"))</f>
        <v/>
      </c>
      <c r="E71" s="11">
        <f>IF($A71="","",IFERROR(INDEX(Products!$E$2:$E$61,MATCH($A71,Products!$A$2:$A$61,0)),"Add to Products"))</f>
        <v/>
      </c>
      <c r="F71" s="11">
        <f>IF($A71="","",IFERROR(INDEX(Products!$F$2:$F$61,MATCH($A71,Products!$A$2:$A$61,0)),"Add to Products"))</f>
        <v/>
      </c>
      <c r="G71" s="10" t="n"/>
      <c r="H71" s="10" t="n"/>
      <c r="I71" s="10" t="n"/>
      <c r="J71" s="10" t="n"/>
      <c r="K71" s="10" t="n"/>
      <c r="L71" s="10" t="n"/>
      <c r="M71" s="10" t="n"/>
      <c r="N71" s="10" t="n"/>
      <c r="O71" s="12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3" t="n"/>
      <c r="Y71" s="13" t="n"/>
      <c r="Z71" s="14" t="n"/>
      <c r="AA71" s="10" t="n"/>
      <c r="AB71" s="10" t="n"/>
      <c r="AC71" s="10" t="n"/>
      <c r="AD71" s="10" t="n"/>
      <c r="AE71" s="10" t="n"/>
      <c r="AF71" s="10" t="n"/>
      <c r="AG71" s="13" t="n"/>
    </row>
    <row r="72">
      <c r="A72" s="10" t="n"/>
      <c r="B72" s="11">
        <f>IF($A72="","",IFERROR(INDEX(Products!$B$2:$B$61,MATCH($A72,Products!$A$2:$A$61,0)),"Add to Products"))</f>
        <v/>
      </c>
      <c r="C72" s="11">
        <f>IF($A72="","",IFERROR(INDEX(Products!$C$2:$C$61,MATCH($A72,Products!$A$2:$A$61,0)),"Add to Products"))</f>
        <v/>
      </c>
      <c r="D72" s="11">
        <f>IF($A72="","",IFERROR(INDEX(Products!$D$2:$D$61,MATCH($A72,Products!$A$2:$A$61,0)),"Add to Products"))</f>
        <v/>
      </c>
      <c r="E72" s="11">
        <f>IF($A72="","",IFERROR(INDEX(Products!$E$2:$E$61,MATCH($A72,Products!$A$2:$A$61,0)),"Add to Products"))</f>
        <v/>
      </c>
      <c r="F72" s="11">
        <f>IF($A72="","",IFERROR(INDEX(Products!$F$2:$F$61,MATCH($A72,Products!$A$2:$A$61,0)),"Add to Products"))</f>
        <v/>
      </c>
      <c r="G72" s="10" t="n"/>
      <c r="H72" s="10" t="n"/>
      <c r="I72" s="10" t="n"/>
      <c r="J72" s="10" t="n"/>
      <c r="K72" s="10" t="n"/>
      <c r="L72" s="10" t="n"/>
      <c r="M72" s="10" t="n"/>
      <c r="N72" s="10" t="n"/>
      <c r="O72" s="12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3" t="n"/>
      <c r="Y72" s="13" t="n"/>
      <c r="Z72" s="14" t="n"/>
      <c r="AA72" s="10" t="n"/>
      <c r="AB72" s="10" t="n"/>
      <c r="AC72" s="10" t="n"/>
      <c r="AD72" s="10" t="n"/>
      <c r="AE72" s="10" t="n"/>
      <c r="AF72" s="10" t="n"/>
      <c r="AG72" s="13" t="n"/>
    </row>
    <row r="73">
      <c r="A73" s="10" t="n"/>
      <c r="B73" s="11">
        <f>IF($A73="","",IFERROR(INDEX(Products!$B$2:$B$61,MATCH($A73,Products!$A$2:$A$61,0)),"Add to Products"))</f>
        <v/>
      </c>
      <c r="C73" s="11">
        <f>IF($A73="","",IFERROR(INDEX(Products!$C$2:$C$61,MATCH($A73,Products!$A$2:$A$61,0)),"Add to Products"))</f>
        <v/>
      </c>
      <c r="D73" s="11">
        <f>IF($A73="","",IFERROR(INDEX(Products!$D$2:$D$61,MATCH($A73,Products!$A$2:$A$61,0)),"Add to Products"))</f>
        <v/>
      </c>
      <c r="E73" s="11">
        <f>IF($A73="","",IFERROR(INDEX(Products!$E$2:$E$61,MATCH($A73,Products!$A$2:$A$61,0)),"Add to Products"))</f>
        <v/>
      </c>
      <c r="F73" s="11">
        <f>IF($A73="","",IFERROR(INDEX(Products!$F$2:$F$61,MATCH($A73,Products!$A$2:$A$61,0)),"Add to Products"))</f>
        <v/>
      </c>
      <c r="G73" s="10" t="n"/>
      <c r="H73" s="10" t="n"/>
      <c r="I73" s="10" t="n"/>
      <c r="J73" s="10" t="n"/>
      <c r="K73" s="10" t="n"/>
      <c r="L73" s="10" t="n"/>
      <c r="M73" s="10" t="n"/>
      <c r="N73" s="10" t="n"/>
      <c r="O73" s="12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3" t="n"/>
      <c r="Y73" s="13" t="n"/>
      <c r="Z73" s="14" t="n"/>
      <c r="AA73" s="10" t="n"/>
      <c r="AB73" s="10" t="n"/>
      <c r="AC73" s="10" t="n"/>
      <c r="AD73" s="10" t="n"/>
      <c r="AE73" s="10" t="n"/>
      <c r="AF73" s="10" t="n"/>
      <c r="AG73" s="13" t="n"/>
    </row>
    <row r="74">
      <c r="A74" s="10" t="n"/>
      <c r="B74" s="11">
        <f>IF($A74="","",IFERROR(INDEX(Products!$B$2:$B$61,MATCH($A74,Products!$A$2:$A$61,0)),"Add to Products"))</f>
        <v/>
      </c>
      <c r="C74" s="11">
        <f>IF($A74="","",IFERROR(INDEX(Products!$C$2:$C$61,MATCH($A74,Products!$A$2:$A$61,0)),"Add to Products"))</f>
        <v/>
      </c>
      <c r="D74" s="11">
        <f>IF($A74="","",IFERROR(INDEX(Products!$D$2:$D$61,MATCH($A74,Products!$A$2:$A$61,0)),"Add to Products"))</f>
        <v/>
      </c>
      <c r="E74" s="11">
        <f>IF($A74="","",IFERROR(INDEX(Products!$E$2:$E$61,MATCH($A74,Products!$A$2:$A$61,0)),"Add to Products"))</f>
        <v/>
      </c>
      <c r="F74" s="11">
        <f>IF($A74="","",IFERROR(INDEX(Products!$F$2:$F$61,MATCH($A74,Products!$A$2:$A$61,0)),"Add to Products"))</f>
        <v/>
      </c>
      <c r="G74" s="10" t="n"/>
      <c r="H74" s="10" t="n"/>
      <c r="I74" s="10" t="n"/>
      <c r="J74" s="10" t="n"/>
      <c r="K74" s="10" t="n"/>
      <c r="L74" s="10" t="n"/>
      <c r="M74" s="10" t="n"/>
      <c r="N74" s="10" t="n"/>
      <c r="O74" s="12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3" t="n"/>
      <c r="Y74" s="13" t="n"/>
      <c r="Z74" s="14" t="n"/>
      <c r="AA74" s="10" t="n"/>
      <c r="AB74" s="10" t="n"/>
      <c r="AC74" s="10" t="n"/>
      <c r="AD74" s="10" t="n"/>
      <c r="AE74" s="10" t="n"/>
      <c r="AF74" s="10" t="n"/>
      <c r="AG74" s="13" t="n"/>
    </row>
    <row r="75">
      <c r="A75" s="10" t="n"/>
      <c r="B75" s="11">
        <f>IF($A75="","",IFERROR(INDEX(Products!$B$2:$B$61,MATCH($A75,Products!$A$2:$A$61,0)),"Add to Products"))</f>
        <v/>
      </c>
      <c r="C75" s="11">
        <f>IF($A75="","",IFERROR(INDEX(Products!$C$2:$C$61,MATCH($A75,Products!$A$2:$A$61,0)),"Add to Products"))</f>
        <v/>
      </c>
      <c r="D75" s="11">
        <f>IF($A75="","",IFERROR(INDEX(Products!$D$2:$D$61,MATCH($A75,Products!$A$2:$A$61,0)),"Add to Products"))</f>
        <v/>
      </c>
      <c r="E75" s="11">
        <f>IF($A75="","",IFERROR(INDEX(Products!$E$2:$E$61,MATCH($A75,Products!$A$2:$A$61,0)),"Add to Products"))</f>
        <v/>
      </c>
      <c r="F75" s="11">
        <f>IF($A75="","",IFERROR(INDEX(Products!$F$2:$F$61,MATCH($A75,Products!$A$2:$A$61,0)),"Add to Products"))</f>
        <v/>
      </c>
      <c r="G75" s="10" t="n"/>
      <c r="H75" s="10" t="n"/>
      <c r="I75" s="10" t="n"/>
      <c r="J75" s="10" t="n"/>
      <c r="K75" s="10" t="n"/>
      <c r="L75" s="10" t="n"/>
      <c r="M75" s="10" t="n"/>
      <c r="N75" s="10" t="n"/>
      <c r="O75" s="12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3" t="n"/>
      <c r="Y75" s="13" t="n"/>
      <c r="Z75" s="14" t="n"/>
      <c r="AA75" s="10" t="n"/>
      <c r="AB75" s="10" t="n"/>
      <c r="AC75" s="10" t="n"/>
      <c r="AD75" s="10" t="n"/>
      <c r="AE75" s="10" t="n"/>
      <c r="AF75" s="10" t="n"/>
      <c r="AG75" s="13" t="n"/>
    </row>
    <row r="76">
      <c r="A76" s="10" t="n"/>
      <c r="B76" s="11">
        <f>IF($A76="","",IFERROR(INDEX(Products!$B$2:$B$61,MATCH($A76,Products!$A$2:$A$61,0)),"Add to Products"))</f>
        <v/>
      </c>
      <c r="C76" s="11">
        <f>IF($A76="","",IFERROR(INDEX(Products!$C$2:$C$61,MATCH($A76,Products!$A$2:$A$61,0)),"Add to Products"))</f>
        <v/>
      </c>
      <c r="D76" s="11">
        <f>IF($A76="","",IFERROR(INDEX(Products!$D$2:$D$61,MATCH($A76,Products!$A$2:$A$61,0)),"Add to Products"))</f>
        <v/>
      </c>
      <c r="E76" s="11">
        <f>IF($A76="","",IFERROR(INDEX(Products!$E$2:$E$61,MATCH($A76,Products!$A$2:$A$61,0)),"Add to Products"))</f>
        <v/>
      </c>
      <c r="F76" s="11">
        <f>IF($A76="","",IFERROR(INDEX(Products!$F$2:$F$61,MATCH($A76,Products!$A$2:$A$61,0)),"Add to Products"))</f>
        <v/>
      </c>
      <c r="G76" s="10" t="n"/>
      <c r="H76" s="10" t="n"/>
      <c r="I76" s="10" t="n"/>
      <c r="J76" s="10" t="n"/>
      <c r="K76" s="10" t="n"/>
      <c r="L76" s="10" t="n"/>
      <c r="M76" s="10" t="n"/>
      <c r="N76" s="10" t="n"/>
      <c r="O76" s="12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3" t="n"/>
      <c r="Y76" s="13" t="n"/>
      <c r="Z76" s="14" t="n"/>
      <c r="AA76" s="10" t="n"/>
      <c r="AB76" s="10" t="n"/>
      <c r="AC76" s="10" t="n"/>
      <c r="AD76" s="10" t="n"/>
      <c r="AE76" s="10" t="n"/>
      <c r="AF76" s="10" t="n"/>
      <c r="AG76" s="13" t="n"/>
    </row>
    <row r="77">
      <c r="A77" s="10" t="n"/>
      <c r="B77" s="11">
        <f>IF($A77="","",IFERROR(INDEX(Products!$B$2:$B$61,MATCH($A77,Products!$A$2:$A$61,0)),"Add to Products"))</f>
        <v/>
      </c>
      <c r="C77" s="11">
        <f>IF($A77="","",IFERROR(INDEX(Products!$C$2:$C$61,MATCH($A77,Products!$A$2:$A$61,0)),"Add to Products"))</f>
        <v/>
      </c>
      <c r="D77" s="11">
        <f>IF($A77="","",IFERROR(INDEX(Products!$D$2:$D$61,MATCH($A77,Products!$A$2:$A$61,0)),"Add to Products"))</f>
        <v/>
      </c>
      <c r="E77" s="11">
        <f>IF($A77="","",IFERROR(INDEX(Products!$E$2:$E$61,MATCH($A77,Products!$A$2:$A$61,0)),"Add to Products"))</f>
        <v/>
      </c>
      <c r="F77" s="11">
        <f>IF($A77="","",IFERROR(INDEX(Products!$F$2:$F$61,MATCH($A77,Products!$A$2:$A$61,0)),"Add to Products"))</f>
        <v/>
      </c>
      <c r="G77" s="10" t="n"/>
      <c r="H77" s="10" t="n"/>
      <c r="I77" s="10" t="n"/>
      <c r="J77" s="10" t="n"/>
      <c r="K77" s="10" t="n"/>
      <c r="L77" s="10" t="n"/>
      <c r="M77" s="10" t="n"/>
      <c r="N77" s="10" t="n"/>
      <c r="O77" s="12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3" t="n"/>
      <c r="Y77" s="13" t="n"/>
      <c r="Z77" s="14" t="n"/>
      <c r="AA77" s="10" t="n"/>
      <c r="AB77" s="10" t="n"/>
      <c r="AC77" s="10" t="n"/>
      <c r="AD77" s="10" t="n"/>
      <c r="AE77" s="10" t="n"/>
      <c r="AF77" s="10" t="n"/>
      <c r="AG77" s="13" t="n"/>
    </row>
    <row r="78">
      <c r="A78" s="10" t="n"/>
      <c r="B78" s="11">
        <f>IF($A78="","",IFERROR(INDEX(Products!$B$2:$B$61,MATCH($A78,Products!$A$2:$A$61,0)),"Add to Products"))</f>
        <v/>
      </c>
      <c r="C78" s="11">
        <f>IF($A78="","",IFERROR(INDEX(Products!$C$2:$C$61,MATCH($A78,Products!$A$2:$A$61,0)),"Add to Products"))</f>
        <v/>
      </c>
      <c r="D78" s="11">
        <f>IF($A78="","",IFERROR(INDEX(Products!$D$2:$D$61,MATCH($A78,Products!$A$2:$A$61,0)),"Add to Products"))</f>
        <v/>
      </c>
      <c r="E78" s="11">
        <f>IF($A78="","",IFERROR(INDEX(Products!$E$2:$E$61,MATCH($A78,Products!$A$2:$A$61,0)),"Add to Products"))</f>
        <v/>
      </c>
      <c r="F78" s="11">
        <f>IF($A78="","",IFERROR(INDEX(Products!$F$2:$F$61,MATCH($A78,Products!$A$2:$A$61,0)),"Add to Products"))</f>
        <v/>
      </c>
      <c r="G78" s="10" t="n"/>
      <c r="H78" s="10" t="n"/>
      <c r="I78" s="10" t="n"/>
      <c r="J78" s="10" t="n"/>
      <c r="K78" s="10" t="n"/>
      <c r="L78" s="10" t="n"/>
      <c r="M78" s="10" t="n"/>
      <c r="N78" s="10" t="n"/>
      <c r="O78" s="12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3" t="n"/>
      <c r="Y78" s="13" t="n"/>
      <c r="Z78" s="14" t="n"/>
      <c r="AA78" s="10" t="n"/>
      <c r="AB78" s="10" t="n"/>
      <c r="AC78" s="10" t="n"/>
      <c r="AD78" s="10" t="n"/>
      <c r="AE78" s="10" t="n"/>
      <c r="AF78" s="10" t="n"/>
      <c r="AG78" s="13" t="n"/>
    </row>
    <row r="79">
      <c r="A79" s="10" t="n"/>
      <c r="B79" s="11">
        <f>IF($A79="","",IFERROR(INDEX(Products!$B$2:$B$61,MATCH($A79,Products!$A$2:$A$61,0)),"Add to Products"))</f>
        <v/>
      </c>
      <c r="C79" s="11">
        <f>IF($A79="","",IFERROR(INDEX(Products!$C$2:$C$61,MATCH($A79,Products!$A$2:$A$61,0)),"Add to Products"))</f>
        <v/>
      </c>
      <c r="D79" s="11">
        <f>IF($A79="","",IFERROR(INDEX(Products!$D$2:$D$61,MATCH($A79,Products!$A$2:$A$61,0)),"Add to Products"))</f>
        <v/>
      </c>
      <c r="E79" s="11">
        <f>IF($A79="","",IFERROR(INDEX(Products!$E$2:$E$61,MATCH($A79,Products!$A$2:$A$61,0)),"Add to Products"))</f>
        <v/>
      </c>
      <c r="F79" s="11">
        <f>IF($A79="","",IFERROR(INDEX(Products!$F$2:$F$61,MATCH($A79,Products!$A$2:$A$61,0)),"Add to Products"))</f>
        <v/>
      </c>
      <c r="G79" s="10" t="n"/>
      <c r="H79" s="10" t="n"/>
      <c r="I79" s="10" t="n"/>
      <c r="J79" s="10" t="n"/>
      <c r="K79" s="10" t="n"/>
      <c r="L79" s="10" t="n"/>
      <c r="M79" s="10" t="n"/>
      <c r="N79" s="10" t="n"/>
      <c r="O79" s="12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3" t="n"/>
      <c r="Y79" s="13" t="n"/>
      <c r="Z79" s="14" t="n"/>
      <c r="AA79" s="10" t="n"/>
      <c r="AB79" s="10" t="n"/>
      <c r="AC79" s="10" t="n"/>
      <c r="AD79" s="10" t="n"/>
      <c r="AE79" s="10" t="n"/>
      <c r="AF79" s="10" t="n"/>
      <c r="AG79" s="13" t="n"/>
    </row>
    <row r="80">
      <c r="A80" s="10" t="n"/>
      <c r="B80" s="11">
        <f>IF($A80="","",IFERROR(INDEX(Products!$B$2:$B$61,MATCH($A80,Products!$A$2:$A$61,0)),"Add to Products"))</f>
        <v/>
      </c>
      <c r="C80" s="11">
        <f>IF($A80="","",IFERROR(INDEX(Products!$C$2:$C$61,MATCH($A80,Products!$A$2:$A$61,0)),"Add to Products"))</f>
        <v/>
      </c>
      <c r="D80" s="11">
        <f>IF($A80="","",IFERROR(INDEX(Products!$D$2:$D$61,MATCH($A80,Products!$A$2:$A$61,0)),"Add to Products"))</f>
        <v/>
      </c>
      <c r="E80" s="11">
        <f>IF($A80="","",IFERROR(INDEX(Products!$E$2:$E$61,MATCH($A80,Products!$A$2:$A$61,0)),"Add to Products"))</f>
        <v/>
      </c>
      <c r="F80" s="11">
        <f>IF($A80="","",IFERROR(INDEX(Products!$F$2:$F$61,MATCH($A80,Products!$A$2:$A$61,0)),"Add to Products"))</f>
        <v/>
      </c>
      <c r="G80" s="10" t="n"/>
      <c r="H80" s="10" t="n"/>
      <c r="I80" s="10" t="n"/>
      <c r="J80" s="10" t="n"/>
      <c r="K80" s="10" t="n"/>
      <c r="L80" s="10" t="n"/>
      <c r="M80" s="10" t="n"/>
      <c r="N80" s="10" t="n"/>
      <c r="O80" s="12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3" t="n"/>
      <c r="Y80" s="13" t="n"/>
      <c r="Z80" s="14" t="n"/>
      <c r="AA80" s="10" t="n"/>
      <c r="AB80" s="10" t="n"/>
      <c r="AC80" s="10" t="n"/>
      <c r="AD80" s="10" t="n"/>
      <c r="AE80" s="10" t="n"/>
      <c r="AF80" s="10" t="n"/>
      <c r="AG80" s="13" t="n"/>
    </row>
    <row r="81">
      <c r="A81" s="10" t="n"/>
      <c r="B81" s="11">
        <f>IF($A81="","",IFERROR(INDEX(Products!$B$2:$B$61,MATCH($A81,Products!$A$2:$A$61,0)),"Add to Products"))</f>
        <v/>
      </c>
      <c r="C81" s="11">
        <f>IF($A81="","",IFERROR(INDEX(Products!$C$2:$C$61,MATCH($A81,Products!$A$2:$A$61,0)),"Add to Products"))</f>
        <v/>
      </c>
      <c r="D81" s="11">
        <f>IF($A81="","",IFERROR(INDEX(Products!$D$2:$D$61,MATCH($A81,Products!$A$2:$A$61,0)),"Add to Products"))</f>
        <v/>
      </c>
      <c r="E81" s="11">
        <f>IF($A81="","",IFERROR(INDEX(Products!$E$2:$E$61,MATCH($A81,Products!$A$2:$A$61,0)),"Add to Products"))</f>
        <v/>
      </c>
      <c r="F81" s="11">
        <f>IF($A81="","",IFERROR(INDEX(Products!$F$2:$F$61,MATCH($A81,Products!$A$2:$A$61,0)),"Add to Products"))</f>
        <v/>
      </c>
      <c r="G81" s="10" t="n"/>
      <c r="H81" s="10" t="n"/>
      <c r="I81" s="10" t="n"/>
      <c r="J81" s="10" t="n"/>
      <c r="K81" s="10" t="n"/>
      <c r="L81" s="10" t="n"/>
      <c r="M81" s="10" t="n"/>
      <c r="N81" s="10" t="n"/>
      <c r="O81" s="12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3" t="n"/>
      <c r="Y81" s="13" t="n"/>
      <c r="Z81" s="14" t="n"/>
      <c r="AA81" s="10" t="n"/>
      <c r="AB81" s="10" t="n"/>
      <c r="AC81" s="10" t="n"/>
      <c r="AD81" s="10" t="n"/>
      <c r="AE81" s="10" t="n"/>
      <c r="AF81" s="10" t="n"/>
      <c r="AG81" s="13" t="n"/>
    </row>
    <row r="82">
      <c r="A82" s="10" t="n"/>
      <c r="B82" s="11">
        <f>IF($A82="","",IFERROR(INDEX(Products!$B$2:$B$61,MATCH($A82,Products!$A$2:$A$61,0)),"Add to Products"))</f>
        <v/>
      </c>
      <c r="C82" s="11">
        <f>IF($A82="","",IFERROR(INDEX(Products!$C$2:$C$61,MATCH($A82,Products!$A$2:$A$61,0)),"Add to Products"))</f>
        <v/>
      </c>
      <c r="D82" s="11">
        <f>IF($A82="","",IFERROR(INDEX(Products!$D$2:$D$61,MATCH($A82,Products!$A$2:$A$61,0)),"Add to Products"))</f>
        <v/>
      </c>
      <c r="E82" s="11">
        <f>IF($A82="","",IFERROR(INDEX(Products!$E$2:$E$61,MATCH($A82,Products!$A$2:$A$61,0)),"Add to Products"))</f>
        <v/>
      </c>
      <c r="F82" s="11">
        <f>IF($A82="","",IFERROR(INDEX(Products!$F$2:$F$61,MATCH($A82,Products!$A$2:$A$61,0)),"Add to Products"))</f>
        <v/>
      </c>
      <c r="G82" s="10" t="n"/>
      <c r="H82" s="10" t="n"/>
      <c r="I82" s="10" t="n"/>
      <c r="J82" s="10" t="n"/>
      <c r="K82" s="10" t="n"/>
      <c r="L82" s="10" t="n"/>
      <c r="M82" s="10" t="n"/>
      <c r="N82" s="10" t="n"/>
      <c r="O82" s="12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3" t="n"/>
      <c r="Y82" s="13" t="n"/>
      <c r="Z82" s="14" t="n"/>
      <c r="AA82" s="10" t="n"/>
      <c r="AB82" s="10" t="n"/>
      <c r="AC82" s="10" t="n"/>
      <c r="AD82" s="10" t="n"/>
      <c r="AE82" s="10" t="n"/>
      <c r="AF82" s="10" t="n"/>
      <c r="AG82" s="13" t="n"/>
    </row>
    <row r="83">
      <c r="A83" s="10" t="n"/>
      <c r="B83" s="11">
        <f>IF($A83="","",IFERROR(INDEX(Products!$B$2:$B$61,MATCH($A83,Products!$A$2:$A$61,0)),"Add to Products"))</f>
        <v/>
      </c>
      <c r="C83" s="11">
        <f>IF($A83="","",IFERROR(INDEX(Products!$C$2:$C$61,MATCH($A83,Products!$A$2:$A$61,0)),"Add to Products"))</f>
        <v/>
      </c>
      <c r="D83" s="11">
        <f>IF($A83="","",IFERROR(INDEX(Products!$D$2:$D$61,MATCH($A83,Products!$A$2:$A$61,0)),"Add to Products"))</f>
        <v/>
      </c>
      <c r="E83" s="11">
        <f>IF($A83="","",IFERROR(INDEX(Products!$E$2:$E$61,MATCH($A83,Products!$A$2:$A$61,0)),"Add to Products"))</f>
        <v/>
      </c>
      <c r="F83" s="11">
        <f>IF($A83="","",IFERROR(INDEX(Products!$F$2:$F$61,MATCH($A83,Products!$A$2:$A$61,0)),"Add to Products"))</f>
        <v/>
      </c>
      <c r="G83" s="10" t="n"/>
      <c r="H83" s="10" t="n"/>
      <c r="I83" s="10" t="n"/>
      <c r="J83" s="10" t="n"/>
      <c r="K83" s="10" t="n"/>
      <c r="L83" s="10" t="n"/>
      <c r="M83" s="10" t="n"/>
      <c r="N83" s="10" t="n"/>
      <c r="O83" s="12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3" t="n"/>
      <c r="Y83" s="13" t="n"/>
      <c r="Z83" s="14" t="n"/>
      <c r="AA83" s="10" t="n"/>
      <c r="AB83" s="10" t="n"/>
      <c r="AC83" s="10" t="n"/>
      <c r="AD83" s="10" t="n"/>
      <c r="AE83" s="10" t="n"/>
      <c r="AF83" s="10" t="n"/>
      <c r="AG83" s="13" t="n"/>
    </row>
    <row r="84">
      <c r="A84" s="10" t="n"/>
      <c r="B84" s="11">
        <f>IF($A84="","",IFERROR(INDEX(Products!$B$2:$B$61,MATCH($A84,Products!$A$2:$A$61,0)),"Add to Products"))</f>
        <v/>
      </c>
      <c r="C84" s="11">
        <f>IF($A84="","",IFERROR(INDEX(Products!$C$2:$C$61,MATCH($A84,Products!$A$2:$A$61,0)),"Add to Products"))</f>
        <v/>
      </c>
      <c r="D84" s="11">
        <f>IF($A84="","",IFERROR(INDEX(Products!$D$2:$D$61,MATCH($A84,Products!$A$2:$A$61,0)),"Add to Products"))</f>
        <v/>
      </c>
      <c r="E84" s="11">
        <f>IF($A84="","",IFERROR(INDEX(Products!$E$2:$E$61,MATCH($A84,Products!$A$2:$A$61,0)),"Add to Products"))</f>
        <v/>
      </c>
      <c r="F84" s="11">
        <f>IF($A84="","",IFERROR(INDEX(Products!$F$2:$F$61,MATCH($A84,Products!$A$2:$A$61,0)),"Add to Products"))</f>
        <v/>
      </c>
      <c r="G84" s="10" t="n"/>
      <c r="H84" s="10" t="n"/>
      <c r="I84" s="10" t="n"/>
      <c r="J84" s="10" t="n"/>
      <c r="K84" s="10" t="n"/>
      <c r="L84" s="10" t="n"/>
      <c r="M84" s="10" t="n"/>
      <c r="N84" s="10" t="n"/>
      <c r="O84" s="12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3" t="n"/>
      <c r="Y84" s="13" t="n"/>
      <c r="Z84" s="14" t="n"/>
      <c r="AA84" s="10" t="n"/>
      <c r="AB84" s="10" t="n"/>
      <c r="AC84" s="10" t="n"/>
      <c r="AD84" s="10" t="n"/>
      <c r="AE84" s="10" t="n"/>
      <c r="AF84" s="10" t="n"/>
      <c r="AG84" s="13" t="n"/>
    </row>
    <row r="85">
      <c r="A85" s="10" t="n"/>
      <c r="B85" s="11">
        <f>IF($A85="","",IFERROR(INDEX(Products!$B$2:$B$61,MATCH($A85,Products!$A$2:$A$61,0)),"Add to Products"))</f>
        <v/>
      </c>
      <c r="C85" s="11">
        <f>IF($A85="","",IFERROR(INDEX(Products!$C$2:$C$61,MATCH($A85,Products!$A$2:$A$61,0)),"Add to Products"))</f>
        <v/>
      </c>
      <c r="D85" s="11">
        <f>IF($A85="","",IFERROR(INDEX(Products!$D$2:$D$61,MATCH($A85,Products!$A$2:$A$61,0)),"Add to Products"))</f>
        <v/>
      </c>
      <c r="E85" s="11">
        <f>IF($A85="","",IFERROR(INDEX(Products!$E$2:$E$61,MATCH($A85,Products!$A$2:$A$61,0)),"Add to Products"))</f>
        <v/>
      </c>
      <c r="F85" s="11">
        <f>IF($A85="","",IFERROR(INDEX(Products!$F$2:$F$61,MATCH($A85,Products!$A$2:$A$61,0)),"Add to Products"))</f>
        <v/>
      </c>
      <c r="G85" s="10" t="n"/>
      <c r="H85" s="10" t="n"/>
      <c r="I85" s="10" t="n"/>
      <c r="J85" s="10" t="n"/>
      <c r="K85" s="10" t="n"/>
      <c r="L85" s="10" t="n"/>
      <c r="M85" s="10" t="n"/>
      <c r="N85" s="10" t="n"/>
      <c r="O85" s="12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3" t="n"/>
      <c r="Y85" s="13" t="n"/>
      <c r="Z85" s="14" t="n"/>
      <c r="AA85" s="10" t="n"/>
      <c r="AB85" s="10" t="n"/>
      <c r="AC85" s="10" t="n"/>
      <c r="AD85" s="10" t="n"/>
      <c r="AE85" s="10" t="n"/>
      <c r="AF85" s="10" t="n"/>
      <c r="AG85" s="13" t="n"/>
    </row>
    <row r="86">
      <c r="A86" s="10" t="n"/>
      <c r="B86" s="11">
        <f>IF($A86="","",IFERROR(INDEX(Products!$B$2:$B$61,MATCH($A86,Products!$A$2:$A$61,0)),"Add to Products"))</f>
        <v/>
      </c>
      <c r="C86" s="11">
        <f>IF($A86="","",IFERROR(INDEX(Products!$C$2:$C$61,MATCH($A86,Products!$A$2:$A$61,0)),"Add to Products"))</f>
        <v/>
      </c>
      <c r="D86" s="11">
        <f>IF($A86="","",IFERROR(INDEX(Products!$D$2:$D$61,MATCH($A86,Products!$A$2:$A$61,0)),"Add to Products"))</f>
        <v/>
      </c>
      <c r="E86" s="11">
        <f>IF($A86="","",IFERROR(INDEX(Products!$E$2:$E$61,MATCH($A86,Products!$A$2:$A$61,0)),"Add to Products"))</f>
        <v/>
      </c>
      <c r="F86" s="11">
        <f>IF($A86="","",IFERROR(INDEX(Products!$F$2:$F$61,MATCH($A86,Products!$A$2:$A$61,0)),"Add to Products"))</f>
        <v/>
      </c>
      <c r="G86" s="10" t="n"/>
      <c r="H86" s="10" t="n"/>
      <c r="I86" s="10" t="n"/>
      <c r="J86" s="10" t="n"/>
      <c r="K86" s="10" t="n"/>
      <c r="L86" s="10" t="n"/>
      <c r="M86" s="10" t="n"/>
      <c r="N86" s="10" t="n"/>
      <c r="O86" s="12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3" t="n"/>
      <c r="Y86" s="13" t="n"/>
      <c r="Z86" s="14" t="n"/>
      <c r="AA86" s="10" t="n"/>
      <c r="AB86" s="10" t="n"/>
      <c r="AC86" s="10" t="n"/>
      <c r="AD86" s="10" t="n"/>
      <c r="AE86" s="10" t="n"/>
      <c r="AF86" s="10" t="n"/>
      <c r="AG86" s="13" t="n"/>
    </row>
    <row r="87">
      <c r="A87" s="10" t="n"/>
      <c r="B87" s="11">
        <f>IF($A87="","",IFERROR(INDEX(Products!$B$2:$B$61,MATCH($A87,Products!$A$2:$A$61,0)),"Add to Products"))</f>
        <v/>
      </c>
      <c r="C87" s="11">
        <f>IF($A87="","",IFERROR(INDEX(Products!$C$2:$C$61,MATCH($A87,Products!$A$2:$A$61,0)),"Add to Products"))</f>
        <v/>
      </c>
      <c r="D87" s="11">
        <f>IF($A87="","",IFERROR(INDEX(Products!$D$2:$D$61,MATCH($A87,Products!$A$2:$A$61,0)),"Add to Products"))</f>
        <v/>
      </c>
      <c r="E87" s="11">
        <f>IF($A87="","",IFERROR(INDEX(Products!$E$2:$E$61,MATCH($A87,Products!$A$2:$A$61,0)),"Add to Products"))</f>
        <v/>
      </c>
      <c r="F87" s="11">
        <f>IF($A87="","",IFERROR(INDEX(Products!$F$2:$F$61,MATCH($A87,Products!$A$2:$A$61,0)),"Add to Products"))</f>
        <v/>
      </c>
      <c r="G87" s="10" t="n"/>
      <c r="H87" s="10" t="n"/>
      <c r="I87" s="10" t="n"/>
      <c r="J87" s="10" t="n"/>
      <c r="K87" s="10" t="n"/>
      <c r="L87" s="10" t="n"/>
      <c r="M87" s="10" t="n"/>
      <c r="N87" s="10" t="n"/>
      <c r="O87" s="12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3" t="n"/>
      <c r="Y87" s="13" t="n"/>
      <c r="Z87" s="14" t="n"/>
      <c r="AA87" s="10" t="n"/>
      <c r="AB87" s="10" t="n"/>
      <c r="AC87" s="10" t="n"/>
      <c r="AD87" s="10" t="n"/>
      <c r="AE87" s="10" t="n"/>
      <c r="AF87" s="10" t="n"/>
      <c r="AG87" s="13" t="n"/>
    </row>
    <row r="88">
      <c r="A88" s="10" t="n"/>
      <c r="B88" s="11">
        <f>IF($A88="","",IFERROR(INDEX(Products!$B$2:$B$61,MATCH($A88,Products!$A$2:$A$61,0)),"Add to Products"))</f>
        <v/>
      </c>
      <c r="C88" s="11">
        <f>IF($A88="","",IFERROR(INDEX(Products!$C$2:$C$61,MATCH($A88,Products!$A$2:$A$61,0)),"Add to Products"))</f>
        <v/>
      </c>
      <c r="D88" s="11">
        <f>IF($A88="","",IFERROR(INDEX(Products!$D$2:$D$61,MATCH($A88,Products!$A$2:$A$61,0)),"Add to Products"))</f>
        <v/>
      </c>
      <c r="E88" s="11">
        <f>IF($A88="","",IFERROR(INDEX(Products!$E$2:$E$61,MATCH($A88,Products!$A$2:$A$61,0)),"Add to Products"))</f>
        <v/>
      </c>
      <c r="F88" s="11">
        <f>IF($A88="","",IFERROR(INDEX(Products!$F$2:$F$61,MATCH($A88,Products!$A$2:$A$61,0)),"Add to Products"))</f>
        <v/>
      </c>
      <c r="G88" s="10" t="n"/>
      <c r="H88" s="10" t="n"/>
      <c r="I88" s="10" t="n"/>
      <c r="J88" s="10" t="n"/>
      <c r="K88" s="10" t="n"/>
      <c r="L88" s="10" t="n"/>
      <c r="M88" s="10" t="n"/>
      <c r="N88" s="10" t="n"/>
      <c r="O88" s="12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3" t="n"/>
      <c r="Y88" s="13" t="n"/>
      <c r="Z88" s="14" t="n"/>
      <c r="AA88" s="10" t="n"/>
      <c r="AB88" s="10" t="n"/>
      <c r="AC88" s="10" t="n"/>
      <c r="AD88" s="10" t="n"/>
      <c r="AE88" s="10" t="n"/>
      <c r="AF88" s="10" t="n"/>
      <c r="AG88" s="13" t="n"/>
    </row>
    <row r="89">
      <c r="A89" s="10" t="n"/>
      <c r="B89" s="11">
        <f>IF($A89="","",IFERROR(INDEX(Products!$B$2:$B$61,MATCH($A89,Products!$A$2:$A$61,0)),"Add to Products"))</f>
        <v/>
      </c>
      <c r="C89" s="11">
        <f>IF($A89="","",IFERROR(INDEX(Products!$C$2:$C$61,MATCH($A89,Products!$A$2:$A$61,0)),"Add to Products"))</f>
        <v/>
      </c>
      <c r="D89" s="11">
        <f>IF($A89="","",IFERROR(INDEX(Products!$D$2:$D$61,MATCH($A89,Products!$A$2:$A$61,0)),"Add to Products"))</f>
        <v/>
      </c>
      <c r="E89" s="11">
        <f>IF($A89="","",IFERROR(INDEX(Products!$E$2:$E$61,MATCH($A89,Products!$A$2:$A$61,0)),"Add to Products"))</f>
        <v/>
      </c>
      <c r="F89" s="11">
        <f>IF($A89="","",IFERROR(INDEX(Products!$F$2:$F$61,MATCH($A89,Products!$A$2:$A$61,0)),"Add to Products"))</f>
        <v/>
      </c>
      <c r="G89" s="10" t="n"/>
      <c r="H89" s="10" t="n"/>
      <c r="I89" s="10" t="n"/>
      <c r="J89" s="10" t="n"/>
      <c r="K89" s="10" t="n"/>
      <c r="L89" s="10" t="n"/>
      <c r="M89" s="10" t="n"/>
      <c r="N89" s="10" t="n"/>
      <c r="O89" s="12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3" t="n"/>
      <c r="Y89" s="13" t="n"/>
      <c r="Z89" s="14" t="n"/>
      <c r="AA89" s="10" t="n"/>
      <c r="AB89" s="10" t="n"/>
      <c r="AC89" s="10" t="n"/>
      <c r="AD89" s="10" t="n"/>
      <c r="AE89" s="10" t="n"/>
      <c r="AF89" s="10" t="n"/>
      <c r="AG89" s="13" t="n"/>
    </row>
    <row r="90">
      <c r="A90" s="10" t="n"/>
      <c r="B90" s="11">
        <f>IF($A90="","",IFERROR(INDEX(Products!$B$2:$B$61,MATCH($A90,Products!$A$2:$A$61,0)),"Add to Products"))</f>
        <v/>
      </c>
      <c r="C90" s="11">
        <f>IF($A90="","",IFERROR(INDEX(Products!$C$2:$C$61,MATCH($A90,Products!$A$2:$A$61,0)),"Add to Products"))</f>
        <v/>
      </c>
      <c r="D90" s="11">
        <f>IF($A90="","",IFERROR(INDEX(Products!$D$2:$D$61,MATCH($A90,Products!$A$2:$A$61,0)),"Add to Products"))</f>
        <v/>
      </c>
      <c r="E90" s="11">
        <f>IF($A90="","",IFERROR(INDEX(Products!$E$2:$E$61,MATCH($A90,Products!$A$2:$A$61,0)),"Add to Products"))</f>
        <v/>
      </c>
      <c r="F90" s="11">
        <f>IF($A90="","",IFERROR(INDEX(Products!$F$2:$F$61,MATCH($A90,Products!$A$2:$A$61,0)),"Add to Products"))</f>
        <v/>
      </c>
      <c r="G90" s="10" t="n"/>
      <c r="H90" s="10" t="n"/>
      <c r="I90" s="10" t="n"/>
      <c r="J90" s="10" t="n"/>
      <c r="K90" s="10" t="n"/>
      <c r="L90" s="10" t="n"/>
      <c r="M90" s="10" t="n"/>
      <c r="N90" s="10" t="n"/>
      <c r="O90" s="12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3" t="n"/>
      <c r="Y90" s="13" t="n"/>
      <c r="Z90" s="14" t="n"/>
      <c r="AA90" s="10" t="n"/>
      <c r="AB90" s="10" t="n"/>
      <c r="AC90" s="10" t="n"/>
      <c r="AD90" s="10" t="n"/>
      <c r="AE90" s="10" t="n"/>
      <c r="AF90" s="10" t="n"/>
      <c r="AG90" s="13" t="n"/>
    </row>
    <row r="91">
      <c r="A91" s="10" t="n"/>
      <c r="B91" s="11">
        <f>IF($A91="","",IFERROR(INDEX(Products!$B$2:$B$61,MATCH($A91,Products!$A$2:$A$61,0)),"Add to Products"))</f>
        <v/>
      </c>
      <c r="C91" s="11">
        <f>IF($A91="","",IFERROR(INDEX(Products!$C$2:$C$61,MATCH($A91,Products!$A$2:$A$61,0)),"Add to Products"))</f>
        <v/>
      </c>
      <c r="D91" s="11">
        <f>IF($A91="","",IFERROR(INDEX(Products!$D$2:$D$61,MATCH($A91,Products!$A$2:$A$61,0)),"Add to Products"))</f>
        <v/>
      </c>
      <c r="E91" s="11">
        <f>IF($A91="","",IFERROR(INDEX(Products!$E$2:$E$61,MATCH($A91,Products!$A$2:$A$61,0)),"Add to Products"))</f>
        <v/>
      </c>
      <c r="F91" s="11">
        <f>IF($A91="","",IFERROR(INDEX(Products!$F$2:$F$61,MATCH($A91,Products!$A$2:$A$61,0)),"Add to Products"))</f>
        <v/>
      </c>
      <c r="G91" s="10" t="n"/>
      <c r="H91" s="10" t="n"/>
      <c r="I91" s="10" t="n"/>
      <c r="J91" s="10" t="n"/>
      <c r="K91" s="10" t="n"/>
      <c r="L91" s="10" t="n"/>
      <c r="M91" s="10" t="n"/>
      <c r="N91" s="10" t="n"/>
      <c r="O91" s="12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3" t="n"/>
      <c r="Y91" s="13" t="n"/>
      <c r="Z91" s="14" t="n"/>
      <c r="AA91" s="10" t="n"/>
      <c r="AB91" s="10" t="n"/>
      <c r="AC91" s="10" t="n"/>
      <c r="AD91" s="10" t="n"/>
      <c r="AE91" s="10" t="n"/>
      <c r="AF91" s="10" t="n"/>
      <c r="AG91" s="13" t="n"/>
    </row>
    <row r="92">
      <c r="A92" s="10" t="n"/>
      <c r="B92" s="11">
        <f>IF($A92="","",IFERROR(INDEX(Products!$B$2:$B$61,MATCH($A92,Products!$A$2:$A$61,0)),"Add to Products"))</f>
        <v/>
      </c>
      <c r="C92" s="11">
        <f>IF($A92="","",IFERROR(INDEX(Products!$C$2:$C$61,MATCH($A92,Products!$A$2:$A$61,0)),"Add to Products"))</f>
        <v/>
      </c>
      <c r="D92" s="11">
        <f>IF($A92="","",IFERROR(INDEX(Products!$D$2:$D$61,MATCH($A92,Products!$A$2:$A$61,0)),"Add to Products"))</f>
        <v/>
      </c>
      <c r="E92" s="11">
        <f>IF($A92="","",IFERROR(INDEX(Products!$E$2:$E$61,MATCH($A92,Products!$A$2:$A$61,0)),"Add to Products"))</f>
        <v/>
      </c>
      <c r="F92" s="11">
        <f>IF($A92="","",IFERROR(INDEX(Products!$F$2:$F$61,MATCH($A92,Products!$A$2:$A$61,0)),"Add to Products"))</f>
        <v/>
      </c>
      <c r="G92" s="10" t="n"/>
      <c r="H92" s="10" t="n"/>
      <c r="I92" s="10" t="n"/>
      <c r="J92" s="10" t="n"/>
      <c r="K92" s="10" t="n"/>
      <c r="L92" s="10" t="n"/>
      <c r="M92" s="10" t="n"/>
      <c r="N92" s="10" t="n"/>
      <c r="O92" s="12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3" t="n"/>
      <c r="Y92" s="13" t="n"/>
      <c r="Z92" s="14" t="n"/>
      <c r="AA92" s="10" t="n"/>
      <c r="AB92" s="10" t="n"/>
      <c r="AC92" s="10" t="n"/>
      <c r="AD92" s="10" t="n"/>
      <c r="AE92" s="10" t="n"/>
      <c r="AF92" s="10" t="n"/>
      <c r="AG92" s="13" t="n"/>
    </row>
    <row r="93">
      <c r="A93" s="10" t="n"/>
      <c r="B93" s="11">
        <f>IF($A93="","",IFERROR(INDEX(Products!$B$2:$B$61,MATCH($A93,Products!$A$2:$A$61,0)),"Add to Products"))</f>
        <v/>
      </c>
      <c r="C93" s="11">
        <f>IF($A93="","",IFERROR(INDEX(Products!$C$2:$C$61,MATCH($A93,Products!$A$2:$A$61,0)),"Add to Products"))</f>
        <v/>
      </c>
      <c r="D93" s="11">
        <f>IF($A93="","",IFERROR(INDEX(Products!$D$2:$D$61,MATCH($A93,Products!$A$2:$A$61,0)),"Add to Products"))</f>
        <v/>
      </c>
      <c r="E93" s="11">
        <f>IF($A93="","",IFERROR(INDEX(Products!$E$2:$E$61,MATCH($A93,Products!$A$2:$A$61,0)),"Add to Products"))</f>
        <v/>
      </c>
      <c r="F93" s="11">
        <f>IF($A93="","",IFERROR(INDEX(Products!$F$2:$F$61,MATCH($A93,Products!$A$2:$A$61,0)),"Add to Products"))</f>
        <v/>
      </c>
      <c r="G93" s="10" t="n"/>
      <c r="H93" s="10" t="n"/>
      <c r="I93" s="10" t="n"/>
      <c r="J93" s="10" t="n"/>
      <c r="K93" s="10" t="n"/>
      <c r="L93" s="10" t="n"/>
      <c r="M93" s="10" t="n"/>
      <c r="N93" s="10" t="n"/>
      <c r="O93" s="12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3" t="n"/>
      <c r="Y93" s="13" t="n"/>
      <c r="Z93" s="14" t="n"/>
      <c r="AA93" s="10" t="n"/>
      <c r="AB93" s="10" t="n"/>
      <c r="AC93" s="10" t="n"/>
      <c r="AD93" s="10" t="n"/>
      <c r="AE93" s="10" t="n"/>
      <c r="AF93" s="10" t="n"/>
      <c r="AG93" s="13" t="n"/>
    </row>
    <row r="94">
      <c r="A94" s="10" t="n"/>
      <c r="B94" s="11">
        <f>IF($A94="","",IFERROR(INDEX(Products!$B$2:$B$61,MATCH($A94,Products!$A$2:$A$61,0)),"Add to Products"))</f>
        <v/>
      </c>
      <c r="C94" s="11">
        <f>IF($A94="","",IFERROR(INDEX(Products!$C$2:$C$61,MATCH($A94,Products!$A$2:$A$61,0)),"Add to Products"))</f>
        <v/>
      </c>
      <c r="D94" s="11">
        <f>IF($A94="","",IFERROR(INDEX(Products!$D$2:$D$61,MATCH($A94,Products!$A$2:$A$61,0)),"Add to Products"))</f>
        <v/>
      </c>
      <c r="E94" s="11">
        <f>IF($A94="","",IFERROR(INDEX(Products!$E$2:$E$61,MATCH($A94,Products!$A$2:$A$61,0)),"Add to Products"))</f>
        <v/>
      </c>
      <c r="F94" s="11">
        <f>IF($A94="","",IFERROR(INDEX(Products!$F$2:$F$61,MATCH($A94,Products!$A$2:$A$61,0)),"Add to Products"))</f>
        <v/>
      </c>
      <c r="G94" s="10" t="n"/>
      <c r="H94" s="10" t="n"/>
      <c r="I94" s="10" t="n"/>
      <c r="J94" s="10" t="n"/>
      <c r="K94" s="10" t="n"/>
      <c r="L94" s="10" t="n"/>
      <c r="M94" s="10" t="n"/>
      <c r="N94" s="10" t="n"/>
      <c r="O94" s="12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3" t="n"/>
      <c r="Y94" s="13" t="n"/>
      <c r="Z94" s="14" t="n"/>
      <c r="AA94" s="10" t="n"/>
      <c r="AB94" s="10" t="n"/>
      <c r="AC94" s="10" t="n"/>
      <c r="AD94" s="10" t="n"/>
      <c r="AE94" s="10" t="n"/>
      <c r="AF94" s="10" t="n"/>
      <c r="AG94" s="13" t="n"/>
    </row>
    <row r="95">
      <c r="A95" s="10" t="n"/>
      <c r="B95" s="11">
        <f>IF($A95="","",IFERROR(INDEX(Products!$B$2:$B$61,MATCH($A95,Products!$A$2:$A$61,0)),"Add to Products"))</f>
        <v/>
      </c>
      <c r="C95" s="11">
        <f>IF($A95="","",IFERROR(INDEX(Products!$C$2:$C$61,MATCH($A95,Products!$A$2:$A$61,0)),"Add to Products"))</f>
        <v/>
      </c>
      <c r="D95" s="11">
        <f>IF($A95="","",IFERROR(INDEX(Products!$D$2:$D$61,MATCH($A95,Products!$A$2:$A$61,0)),"Add to Products"))</f>
        <v/>
      </c>
      <c r="E95" s="11">
        <f>IF($A95="","",IFERROR(INDEX(Products!$E$2:$E$61,MATCH($A95,Products!$A$2:$A$61,0)),"Add to Products"))</f>
        <v/>
      </c>
      <c r="F95" s="11">
        <f>IF($A95="","",IFERROR(INDEX(Products!$F$2:$F$61,MATCH($A95,Products!$A$2:$A$61,0)),"Add to Products"))</f>
        <v/>
      </c>
      <c r="G95" s="10" t="n"/>
      <c r="H95" s="10" t="n"/>
      <c r="I95" s="10" t="n"/>
      <c r="J95" s="10" t="n"/>
      <c r="K95" s="10" t="n"/>
      <c r="L95" s="10" t="n"/>
      <c r="M95" s="10" t="n"/>
      <c r="N95" s="10" t="n"/>
      <c r="O95" s="12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3" t="n"/>
      <c r="Y95" s="13" t="n"/>
      <c r="Z95" s="14" t="n"/>
      <c r="AA95" s="10" t="n"/>
      <c r="AB95" s="10" t="n"/>
      <c r="AC95" s="10" t="n"/>
      <c r="AD95" s="10" t="n"/>
      <c r="AE95" s="10" t="n"/>
      <c r="AF95" s="10" t="n"/>
      <c r="AG95" s="13" t="n"/>
    </row>
    <row r="96">
      <c r="A96" s="10" t="n"/>
      <c r="B96" s="11">
        <f>IF($A96="","",IFERROR(INDEX(Products!$B$2:$B$61,MATCH($A96,Products!$A$2:$A$61,0)),"Add to Products"))</f>
        <v/>
      </c>
      <c r="C96" s="11">
        <f>IF($A96="","",IFERROR(INDEX(Products!$C$2:$C$61,MATCH($A96,Products!$A$2:$A$61,0)),"Add to Products"))</f>
        <v/>
      </c>
      <c r="D96" s="11">
        <f>IF($A96="","",IFERROR(INDEX(Products!$D$2:$D$61,MATCH($A96,Products!$A$2:$A$61,0)),"Add to Products"))</f>
        <v/>
      </c>
      <c r="E96" s="11">
        <f>IF($A96="","",IFERROR(INDEX(Products!$E$2:$E$61,MATCH($A96,Products!$A$2:$A$61,0)),"Add to Products"))</f>
        <v/>
      </c>
      <c r="F96" s="11">
        <f>IF($A96="","",IFERROR(INDEX(Products!$F$2:$F$61,MATCH($A96,Products!$A$2:$A$61,0)),"Add to Products"))</f>
        <v/>
      </c>
      <c r="G96" s="10" t="n"/>
      <c r="H96" s="10" t="n"/>
      <c r="I96" s="10" t="n"/>
      <c r="J96" s="10" t="n"/>
      <c r="K96" s="10" t="n"/>
      <c r="L96" s="10" t="n"/>
      <c r="M96" s="10" t="n"/>
      <c r="N96" s="10" t="n"/>
      <c r="O96" s="12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3" t="n"/>
      <c r="Y96" s="13" t="n"/>
      <c r="Z96" s="14" t="n"/>
      <c r="AA96" s="10" t="n"/>
      <c r="AB96" s="10" t="n"/>
      <c r="AC96" s="10" t="n"/>
      <c r="AD96" s="10" t="n"/>
      <c r="AE96" s="10" t="n"/>
      <c r="AF96" s="10" t="n"/>
      <c r="AG96" s="13" t="n"/>
    </row>
    <row r="97">
      <c r="A97" s="10" t="n"/>
      <c r="B97" s="11">
        <f>IF($A97="","",IFERROR(INDEX(Products!$B$2:$B$61,MATCH($A97,Products!$A$2:$A$61,0)),"Add to Products"))</f>
        <v/>
      </c>
      <c r="C97" s="11">
        <f>IF($A97="","",IFERROR(INDEX(Products!$C$2:$C$61,MATCH($A97,Products!$A$2:$A$61,0)),"Add to Products"))</f>
        <v/>
      </c>
      <c r="D97" s="11">
        <f>IF($A97="","",IFERROR(INDEX(Products!$D$2:$D$61,MATCH($A97,Products!$A$2:$A$61,0)),"Add to Products"))</f>
        <v/>
      </c>
      <c r="E97" s="11">
        <f>IF($A97="","",IFERROR(INDEX(Products!$E$2:$E$61,MATCH($A97,Products!$A$2:$A$61,0)),"Add to Products"))</f>
        <v/>
      </c>
      <c r="F97" s="11">
        <f>IF($A97="","",IFERROR(INDEX(Products!$F$2:$F$61,MATCH($A97,Products!$A$2:$A$61,0)),"Add to Products"))</f>
        <v/>
      </c>
      <c r="G97" s="10" t="n"/>
      <c r="H97" s="10" t="n"/>
      <c r="I97" s="10" t="n"/>
      <c r="J97" s="10" t="n"/>
      <c r="K97" s="10" t="n"/>
      <c r="L97" s="10" t="n"/>
      <c r="M97" s="10" t="n"/>
      <c r="N97" s="10" t="n"/>
      <c r="O97" s="12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3" t="n"/>
      <c r="Y97" s="13" t="n"/>
      <c r="Z97" s="14" t="n"/>
      <c r="AA97" s="10" t="n"/>
      <c r="AB97" s="10" t="n"/>
      <c r="AC97" s="10" t="n"/>
      <c r="AD97" s="10" t="n"/>
      <c r="AE97" s="10" t="n"/>
      <c r="AF97" s="10" t="n"/>
      <c r="AG97" s="13" t="n"/>
    </row>
    <row r="98">
      <c r="A98" s="10" t="n"/>
      <c r="B98" s="11">
        <f>IF($A98="","",IFERROR(INDEX(Products!$B$2:$B$61,MATCH($A98,Products!$A$2:$A$61,0)),"Add to Products"))</f>
        <v/>
      </c>
      <c r="C98" s="11">
        <f>IF($A98="","",IFERROR(INDEX(Products!$C$2:$C$61,MATCH($A98,Products!$A$2:$A$61,0)),"Add to Products"))</f>
        <v/>
      </c>
      <c r="D98" s="11">
        <f>IF($A98="","",IFERROR(INDEX(Products!$D$2:$D$61,MATCH($A98,Products!$A$2:$A$61,0)),"Add to Products"))</f>
        <v/>
      </c>
      <c r="E98" s="11">
        <f>IF($A98="","",IFERROR(INDEX(Products!$E$2:$E$61,MATCH($A98,Products!$A$2:$A$61,0)),"Add to Products"))</f>
        <v/>
      </c>
      <c r="F98" s="11">
        <f>IF($A98="","",IFERROR(INDEX(Products!$F$2:$F$61,MATCH($A98,Products!$A$2:$A$61,0)),"Add to Products"))</f>
        <v/>
      </c>
      <c r="G98" s="10" t="n"/>
      <c r="H98" s="10" t="n"/>
      <c r="I98" s="10" t="n"/>
      <c r="J98" s="10" t="n"/>
      <c r="K98" s="10" t="n"/>
      <c r="L98" s="10" t="n"/>
      <c r="M98" s="10" t="n"/>
      <c r="N98" s="10" t="n"/>
      <c r="O98" s="12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3" t="n"/>
      <c r="Y98" s="13" t="n"/>
      <c r="Z98" s="14" t="n"/>
      <c r="AA98" s="10" t="n"/>
      <c r="AB98" s="10" t="n"/>
      <c r="AC98" s="10" t="n"/>
      <c r="AD98" s="10" t="n"/>
      <c r="AE98" s="10" t="n"/>
      <c r="AF98" s="10" t="n"/>
      <c r="AG98" s="13" t="n"/>
    </row>
    <row r="99">
      <c r="A99" s="10" t="n"/>
      <c r="B99" s="11">
        <f>IF($A99="","",IFERROR(INDEX(Products!$B$2:$B$61,MATCH($A99,Products!$A$2:$A$61,0)),"Add to Products"))</f>
        <v/>
      </c>
      <c r="C99" s="11">
        <f>IF($A99="","",IFERROR(INDEX(Products!$C$2:$C$61,MATCH($A99,Products!$A$2:$A$61,0)),"Add to Products"))</f>
        <v/>
      </c>
      <c r="D99" s="11">
        <f>IF($A99="","",IFERROR(INDEX(Products!$D$2:$D$61,MATCH($A99,Products!$A$2:$A$61,0)),"Add to Products"))</f>
        <v/>
      </c>
      <c r="E99" s="11">
        <f>IF($A99="","",IFERROR(INDEX(Products!$E$2:$E$61,MATCH($A99,Products!$A$2:$A$61,0)),"Add to Products"))</f>
        <v/>
      </c>
      <c r="F99" s="11">
        <f>IF($A99="","",IFERROR(INDEX(Products!$F$2:$F$61,MATCH($A99,Products!$A$2:$A$61,0)),"Add to Products"))</f>
        <v/>
      </c>
      <c r="G99" s="10" t="n"/>
      <c r="H99" s="10" t="n"/>
      <c r="I99" s="10" t="n"/>
      <c r="J99" s="10" t="n"/>
      <c r="K99" s="10" t="n"/>
      <c r="L99" s="10" t="n"/>
      <c r="M99" s="10" t="n"/>
      <c r="N99" s="10" t="n"/>
      <c r="O99" s="12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3" t="n"/>
      <c r="Y99" s="13" t="n"/>
      <c r="Z99" s="14" t="n"/>
      <c r="AA99" s="10" t="n"/>
      <c r="AB99" s="10" t="n"/>
      <c r="AC99" s="10" t="n"/>
      <c r="AD99" s="10" t="n"/>
      <c r="AE99" s="10" t="n"/>
      <c r="AF99" s="10" t="n"/>
      <c r="AG99" s="13" t="n"/>
    </row>
    <row r="100">
      <c r="A100" s="10" t="n"/>
      <c r="B100" s="11">
        <f>IF($A100="","",IFERROR(INDEX(Products!$B$2:$B$61,MATCH($A100,Products!$A$2:$A$61,0)),"Add to Products"))</f>
        <v/>
      </c>
      <c r="C100" s="11">
        <f>IF($A100="","",IFERROR(INDEX(Products!$C$2:$C$61,MATCH($A100,Products!$A$2:$A$61,0)),"Add to Products"))</f>
        <v/>
      </c>
      <c r="D100" s="11">
        <f>IF($A100="","",IFERROR(INDEX(Products!$D$2:$D$61,MATCH($A100,Products!$A$2:$A$61,0)),"Add to Products"))</f>
        <v/>
      </c>
      <c r="E100" s="11">
        <f>IF($A100="","",IFERROR(INDEX(Products!$E$2:$E$61,MATCH($A100,Products!$A$2:$A$61,0)),"Add to Products"))</f>
        <v/>
      </c>
      <c r="F100" s="11">
        <f>IF($A100="","",IFERROR(INDEX(Products!$F$2:$F$61,MATCH($A100,Products!$A$2:$A$61,0)),"Add to Products"))</f>
        <v/>
      </c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2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3" t="n"/>
      <c r="Y100" s="13" t="n"/>
      <c r="Z100" s="14" t="n"/>
      <c r="AA100" s="10" t="n"/>
      <c r="AB100" s="10" t="n"/>
      <c r="AC100" s="10" t="n"/>
      <c r="AD100" s="10" t="n"/>
      <c r="AE100" s="10" t="n"/>
      <c r="AF100" s="10" t="n"/>
      <c r="AG100" s="13" t="n"/>
    </row>
    <row r="101">
      <c r="A101" s="10" t="n"/>
      <c r="B101" s="11">
        <f>IF($A101="","",IFERROR(INDEX(Products!$B$2:$B$61,MATCH($A101,Products!$A$2:$A$61,0)),"Add to Products"))</f>
        <v/>
      </c>
      <c r="C101" s="11">
        <f>IF($A101="","",IFERROR(INDEX(Products!$C$2:$C$61,MATCH($A101,Products!$A$2:$A$61,0)),"Add to Products"))</f>
        <v/>
      </c>
      <c r="D101" s="11">
        <f>IF($A101="","",IFERROR(INDEX(Products!$D$2:$D$61,MATCH($A101,Products!$A$2:$A$61,0)),"Add to Products"))</f>
        <v/>
      </c>
      <c r="E101" s="11">
        <f>IF($A101="","",IFERROR(INDEX(Products!$E$2:$E$61,MATCH($A101,Products!$A$2:$A$61,0)),"Add to Products"))</f>
        <v/>
      </c>
      <c r="F101" s="11">
        <f>IF($A101="","",IFERROR(INDEX(Products!$F$2:$F$61,MATCH($A101,Products!$A$2:$A$61,0)),"Add to Products"))</f>
        <v/>
      </c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2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3" t="n"/>
      <c r="Y101" s="13" t="n"/>
      <c r="Z101" s="14" t="n"/>
      <c r="AA101" s="10" t="n"/>
      <c r="AB101" s="10" t="n"/>
      <c r="AC101" s="10" t="n"/>
      <c r="AD101" s="10" t="n"/>
      <c r="AE101" s="10" t="n"/>
      <c r="AF101" s="10" t="n"/>
      <c r="AG101" s="13" t="n"/>
    </row>
    <row r="102">
      <c r="A102" s="10" t="n"/>
      <c r="B102" s="11">
        <f>IF($A102="","",IFERROR(INDEX(Products!$B$2:$B$61,MATCH($A102,Products!$A$2:$A$61,0)),"Add to Products"))</f>
        <v/>
      </c>
      <c r="C102" s="11">
        <f>IF($A102="","",IFERROR(INDEX(Products!$C$2:$C$61,MATCH($A102,Products!$A$2:$A$61,0)),"Add to Products"))</f>
        <v/>
      </c>
      <c r="D102" s="11">
        <f>IF($A102="","",IFERROR(INDEX(Products!$D$2:$D$61,MATCH($A102,Products!$A$2:$A$61,0)),"Add to Products"))</f>
        <v/>
      </c>
      <c r="E102" s="11">
        <f>IF($A102="","",IFERROR(INDEX(Products!$E$2:$E$61,MATCH($A102,Products!$A$2:$A$61,0)),"Add to Products"))</f>
        <v/>
      </c>
      <c r="F102" s="11">
        <f>IF($A102="","",IFERROR(INDEX(Products!$F$2:$F$61,MATCH($A102,Products!$A$2:$A$61,0)),"Add to Products"))</f>
        <v/>
      </c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2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3" t="n"/>
      <c r="Y102" s="13" t="n"/>
      <c r="Z102" s="14" t="n"/>
      <c r="AA102" s="10" t="n"/>
      <c r="AB102" s="10" t="n"/>
      <c r="AC102" s="10" t="n"/>
      <c r="AD102" s="10" t="n"/>
      <c r="AE102" s="10" t="n"/>
      <c r="AF102" s="10" t="n"/>
      <c r="AG102" s="13" t="n"/>
    </row>
    <row r="103">
      <c r="A103" s="10" t="n"/>
      <c r="B103" s="11">
        <f>IF($A103="","",IFERROR(INDEX(Products!$B$2:$B$61,MATCH($A103,Products!$A$2:$A$61,0)),"Add to Products"))</f>
        <v/>
      </c>
      <c r="C103" s="11">
        <f>IF($A103="","",IFERROR(INDEX(Products!$C$2:$C$61,MATCH($A103,Products!$A$2:$A$61,0)),"Add to Products"))</f>
        <v/>
      </c>
      <c r="D103" s="11">
        <f>IF($A103="","",IFERROR(INDEX(Products!$D$2:$D$61,MATCH($A103,Products!$A$2:$A$61,0)),"Add to Products"))</f>
        <v/>
      </c>
      <c r="E103" s="11">
        <f>IF($A103="","",IFERROR(INDEX(Products!$E$2:$E$61,MATCH($A103,Products!$A$2:$A$61,0)),"Add to Products"))</f>
        <v/>
      </c>
      <c r="F103" s="11">
        <f>IF($A103="","",IFERROR(INDEX(Products!$F$2:$F$61,MATCH($A103,Products!$A$2:$A$61,0)),"Add to Products"))</f>
        <v/>
      </c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2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3" t="n"/>
      <c r="Y103" s="13" t="n"/>
      <c r="Z103" s="14" t="n"/>
      <c r="AA103" s="10" t="n"/>
      <c r="AB103" s="10" t="n"/>
      <c r="AC103" s="10" t="n"/>
      <c r="AD103" s="10" t="n"/>
      <c r="AE103" s="10" t="n"/>
      <c r="AF103" s="10" t="n"/>
      <c r="AG103" s="13" t="n"/>
    </row>
    <row r="104">
      <c r="A104" s="10" t="n"/>
      <c r="B104" s="11">
        <f>IF($A104="","",IFERROR(INDEX(Products!$B$2:$B$61,MATCH($A104,Products!$A$2:$A$61,0)),"Add to Products"))</f>
        <v/>
      </c>
      <c r="C104" s="11">
        <f>IF($A104="","",IFERROR(INDEX(Products!$C$2:$C$61,MATCH($A104,Products!$A$2:$A$61,0)),"Add to Products"))</f>
        <v/>
      </c>
      <c r="D104" s="11">
        <f>IF($A104="","",IFERROR(INDEX(Products!$D$2:$D$61,MATCH($A104,Products!$A$2:$A$61,0)),"Add to Products"))</f>
        <v/>
      </c>
      <c r="E104" s="11">
        <f>IF($A104="","",IFERROR(INDEX(Products!$E$2:$E$61,MATCH($A104,Products!$A$2:$A$61,0)),"Add to Products"))</f>
        <v/>
      </c>
      <c r="F104" s="11">
        <f>IF($A104="","",IFERROR(INDEX(Products!$F$2:$F$61,MATCH($A104,Products!$A$2:$A$61,0)),"Add to Products"))</f>
        <v/>
      </c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2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3" t="n"/>
      <c r="Y104" s="13" t="n"/>
      <c r="Z104" s="14" t="n"/>
      <c r="AA104" s="10" t="n"/>
      <c r="AB104" s="10" t="n"/>
      <c r="AC104" s="10" t="n"/>
      <c r="AD104" s="10" t="n"/>
      <c r="AE104" s="10" t="n"/>
      <c r="AF104" s="10" t="n"/>
      <c r="AG104" s="13" t="n"/>
    </row>
    <row r="105">
      <c r="A105" s="10" t="n"/>
      <c r="B105" s="11">
        <f>IF($A105="","",IFERROR(INDEX(Products!$B$2:$B$61,MATCH($A105,Products!$A$2:$A$61,0)),"Add to Products"))</f>
        <v/>
      </c>
      <c r="C105" s="11">
        <f>IF($A105="","",IFERROR(INDEX(Products!$C$2:$C$61,MATCH($A105,Products!$A$2:$A$61,0)),"Add to Products"))</f>
        <v/>
      </c>
      <c r="D105" s="11">
        <f>IF($A105="","",IFERROR(INDEX(Products!$D$2:$D$61,MATCH($A105,Products!$A$2:$A$61,0)),"Add to Products"))</f>
        <v/>
      </c>
      <c r="E105" s="11">
        <f>IF($A105="","",IFERROR(INDEX(Products!$E$2:$E$61,MATCH($A105,Products!$A$2:$A$61,0)),"Add to Products"))</f>
        <v/>
      </c>
      <c r="F105" s="11">
        <f>IF($A105="","",IFERROR(INDEX(Products!$F$2:$F$61,MATCH($A105,Products!$A$2:$A$61,0)),"Add to Products"))</f>
        <v/>
      </c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2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3" t="n"/>
      <c r="Y105" s="13" t="n"/>
      <c r="Z105" s="14" t="n"/>
      <c r="AA105" s="10" t="n"/>
      <c r="AB105" s="10" t="n"/>
      <c r="AC105" s="10" t="n"/>
      <c r="AD105" s="10" t="n"/>
      <c r="AE105" s="10" t="n"/>
      <c r="AF105" s="10" t="n"/>
      <c r="AG105" s="13" t="n"/>
    </row>
    <row r="106">
      <c r="A106" s="10" t="n"/>
      <c r="B106" s="11">
        <f>IF($A106="","",IFERROR(INDEX(Products!$B$2:$B$61,MATCH($A106,Products!$A$2:$A$61,0)),"Add to Products"))</f>
        <v/>
      </c>
      <c r="C106" s="11">
        <f>IF($A106="","",IFERROR(INDEX(Products!$C$2:$C$61,MATCH($A106,Products!$A$2:$A$61,0)),"Add to Products"))</f>
        <v/>
      </c>
      <c r="D106" s="11">
        <f>IF($A106="","",IFERROR(INDEX(Products!$D$2:$D$61,MATCH($A106,Products!$A$2:$A$61,0)),"Add to Products"))</f>
        <v/>
      </c>
      <c r="E106" s="11">
        <f>IF($A106="","",IFERROR(INDEX(Products!$E$2:$E$61,MATCH($A106,Products!$A$2:$A$61,0)),"Add to Products"))</f>
        <v/>
      </c>
      <c r="F106" s="11">
        <f>IF($A106="","",IFERROR(INDEX(Products!$F$2:$F$61,MATCH($A106,Products!$A$2:$A$61,0)),"Add to Products"))</f>
        <v/>
      </c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2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3" t="n"/>
      <c r="Y106" s="13" t="n"/>
      <c r="Z106" s="14" t="n"/>
      <c r="AA106" s="10" t="n"/>
      <c r="AB106" s="10" t="n"/>
      <c r="AC106" s="10" t="n"/>
      <c r="AD106" s="10" t="n"/>
      <c r="AE106" s="10" t="n"/>
      <c r="AF106" s="10" t="n"/>
      <c r="AG106" s="13" t="n"/>
    </row>
    <row r="107">
      <c r="A107" s="10" t="n"/>
      <c r="B107" s="11">
        <f>IF($A107="","",IFERROR(INDEX(Products!$B$2:$B$61,MATCH($A107,Products!$A$2:$A$61,0)),"Add to Products"))</f>
        <v/>
      </c>
      <c r="C107" s="11">
        <f>IF($A107="","",IFERROR(INDEX(Products!$C$2:$C$61,MATCH($A107,Products!$A$2:$A$61,0)),"Add to Products"))</f>
        <v/>
      </c>
      <c r="D107" s="11">
        <f>IF($A107="","",IFERROR(INDEX(Products!$D$2:$D$61,MATCH($A107,Products!$A$2:$A$61,0)),"Add to Products"))</f>
        <v/>
      </c>
      <c r="E107" s="11">
        <f>IF($A107="","",IFERROR(INDEX(Products!$E$2:$E$61,MATCH($A107,Products!$A$2:$A$61,0)),"Add to Products"))</f>
        <v/>
      </c>
      <c r="F107" s="11">
        <f>IF($A107="","",IFERROR(INDEX(Products!$F$2:$F$61,MATCH($A107,Products!$A$2:$A$61,0)),"Add to Products"))</f>
        <v/>
      </c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2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3" t="n"/>
      <c r="Y107" s="13" t="n"/>
      <c r="Z107" s="14" t="n"/>
      <c r="AA107" s="10" t="n"/>
      <c r="AB107" s="10" t="n"/>
      <c r="AC107" s="10" t="n"/>
      <c r="AD107" s="10" t="n"/>
      <c r="AE107" s="10" t="n"/>
      <c r="AF107" s="10" t="n"/>
      <c r="AG107" s="13" t="n"/>
    </row>
    <row r="108">
      <c r="A108" s="10" t="n"/>
      <c r="B108" s="11">
        <f>IF($A108="","",IFERROR(INDEX(Products!$B$2:$B$61,MATCH($A108,Products!$A$2:$A$61,0)),"Add to Products"))</f>
        <v/>
      </c>
      <c r="C108" s="11">
        <f>IF($A108="","",IFERROR(INDEX(Products!$C$2:$C$61,MATCH($A108,Products!$A$2:$A$61,0)),"Add to Products"))</f>
        <v/>
      </c>
      <c r="D108" s="11">
        <f>IF($A108="","",IFERROR(INDEX(Products!$D$2:$D$61,MATCH($A108,Products!$A$2:$A$61,0)),"Add to Products"))</f>
        <v/>
      </c>
      <c r="E108" s="11">
        <f>IF($A108="","",IFERROR(INDEX(Products!$E$2:$E$61,MATCH($A108,Products!$A$2:$A$61,0)),"Add to Products"))</f>
        <v/>
      </c>
      <c r="F108" s="11">
        <f>IF($A108="","",IFERROR(INDEX(Products!$F$2:$F$61,MATCH($A108,Products!$A$2:$A$61,0)),"Add to Products"))</f>
        <v/>
      </c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2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3" t="n"/>
      <c r="Y108" s="13" t="n"/>
      <c r="Z108" s="14" t="n"/>
      <c r="AA108" s="10" t="n"/>
      <c r="AB108" s="10" t="n"/>
      <c r="AC108" s="10" t="n"/>
      <c r="AD108" s="10" t="n"/>
      <c r="AE108" s="10" t="n"/>
      <c r="AF108" s="10" t="n"/>
      <c r="AG108" s="13" t="n"/>
    </row>
    <row r="109">
      <c r="A109" s="10" t="n"/>
      <c r="B109" s="11">
        <f>IF($A109="","",IFERROR(INDEX(Products!$B$2:$B$61,MATCH($A109,Products!$A$2:$A$61,0)),"Add to Products"))</f>
        <v/>
      </c>
      <c r="C109" s="11">
        <f>IF($A109="","",IFERROR(INDEX(Products!$C$2:$C$61,MATCH($A109,Products!$A$2:$A$61,0)),"Add to Products"))</f>
        <v/>
      </c>
      <c r="D109" s="11">
        <f>IF($A109="","",IFERROR(INDEX(Products!$D$2:$D$61,MATCH($A109,Products!$A$2:$A$61,0)),"Add to Products"))</f>
        <v/>
      </c>
      <c r="E109" s="11">
        <f>IF($A109="","",IFERROR(INDEX(Products!$E$2:$E$61,MATCH($A109,Products!$A$2:$A$61,0)),"Add to Products"))</f>
        <v/>
      </c>
      <c r="F109" s="11">
        <f>IF($A109="","",IFERROR(INDEX(Products!$F$2:$F$61,MATCH($A109,Products!$A$2:$A$61,0)),"Add to Products"))</f>
        <v/>
      </c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2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3" t="n"/>
      <c r="Y109" s="13" t="n"/>
      <c r="Z109" s="14" t="n"/>
      <c r="AA109" s="10" t="n"/>
      <c r="AB109" s="10" t="n"/>
      <c r="AC109" s="10" t="n"/>
      <c r="AD109" s="10" t="n"/>
      <c r="AE109" s="10" t="n"/>
      <c r="AF109" s="10" t="n"/>
      <c r="AG109" s="13" t="n"/>
    </row>
    <row r="110">
      <c r="A110" s="10" t="n"/>
      <c r="B110" s="11">
        <f>IF($A110="","",IFERROR(INDEX(Products!$B$2:$B$61,MATCH($A110,Products!$A$2:$A$61,0)),"Add to Products"))</f>
        <v/>
      </c>
      <c r="C110" s="11">
        <f>IF($A110="","",IFERROR(INDEX(Products!$C$2:$C$61,MATCH($A110,Products!$A$2:$A$61,0)),"Add to Products"))</f>
        <v/>
      </c>
      <c r="D110" s="11">
        <f>IF($A110="","",IFERROR(INDEX(Products!$D$2:$D$61,MATCH($A110,Products!$A$2:$A$61,0)),"Add to Products"))</f>
        <v/>
      </c>
      <c r="E110" s="11">
        <f>IF($A110="","",IFERROR(INDEX(Products!$E$2:$E$61,MATCH($A110,Products!$A$2:$A$61,0)),"Add to Products"))</f>
        <v/>
      </c>
      <c r="F110" s="11">
        <f>IF($A110="","",IFERROR(INDEX(Products!$F$2:$F$61,MATCH($A110,Products!$A$2:$A$61,0)),"Add to Products"))</f>
        <v/>
      </c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2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3" t="n"/>
      <c r="Y110" s="13" t="n"/>
      <c r="Z110" s="14" t="n"/>
      <c r="AA110" s="10" t="n"/>
      <c r="AB110" s="10" t="n"/>
      <c r="AC110" s="10" t="n"/>
      <c r="AD110" s="10" t="n"/>
      <c r="AE110" s="10" t="n"/>
      <c r="AF110" s="10" t="n"/>
      <c r="AG110" s="13" t="n"/>
    </row>
    <row r="111">
      <c r="A111" s="10" t="n"/>
      <c r="B111" s="11">
        <f>IF($A111="","",IFERROR(INDEX(Products!$B$2:$B$61,MATCH($A111,Products!$A$2:$A$61,0)),"Add to Products"))</f>
        <v/>
      </c>
      <c r="C111" s="11">
        <f>IF($A111="","",IFERROR(INDEX(Products!$C$2:$C$61,MATCH($A111,Products!$A$2:$A$61,0)),"Add to Products"))</f>
        <v/>
      </c>
      <c r="D111" s="11">
        <f>IF($A111="","",IFERROR(INDEX(Products!$D$2:$D$61,MATCH($A111,Products!$A$2:$A$61,0)),"Add to Products"))</f>
        <v/>
      </c>
      <c r="E111" s="11">
        <f>IF($A111="","",IFERROR(INDEX(Products!$E$2:$E$61,MATCH($A111,Products!$A$2:$A$61,0)),"Add to Products"))</f>
        <v/>
      </c>
      <c r="F111" s="11">
        <f>IF($A111="","",IFERROR(INDEX(Products!$F$2:$F$61,MATCH($A111,Products!$A$2:$A$61,0)),"Add to Products"))</f>
        <v/>
      </c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2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3" t="n"/>
      <c r="Y111" s="13" t="n"/>
      <c r="Z111" s="14" t="n"/>
      <c r="AA111" s="10" t="n"/>
      <c r="AB111" s="10" t="n"/>
      <c r="AC111" s="10" t="n"/>
      <c r="AD111" s="10" t="n"/>
      <c r="AE111" s="10" t="n"/>
      <c r="AF111" s="10" t="n"/>
      <c r="AG111" s="13" t="n"/>
    </row>
    <row r="112">
      <c r="A112" s="10" t="n"/>
      <c r="B112" s="11">
        <f>IF($A112="","",IFERROR(INDEX(Products!$B$2:$B$61,MATCH($A112,Products!$A$2:$A$61,0)),"Add to Products"))</f>
        <v/>
      </c>
      <c r="C112" s="11">
        <f>IF($A112="","",IFERROR(INDEX(Products!$C$2:$C$61,MATCH($A112,Products!$A$2:$A$61,0)),"Add to Products"))</f>
        <v/>
      </c>
      <c r="D112" s="11">
        <f>IF($A112="","",IFERROR(INDEX(Products!$D$2:$D$61,MATCH($A112,Products!$A$2:$A$61,0)),"Add to Products"))</f>
        <v/>
      </c>
      <c r="E112" s="11">
        <f>IF($A112="","",IFERROR(INDEX(Products!$E$2:$E$61,MATCH($A112,Products!$A$2:$A$61,0)),"Add to Products"))</f>
        <v/>
      </c>
      <c r="F112" s="11">
        <f>IF($A112="","",IFERROR(INDEX(Products!$F$2:$F$61,MATCH($A112,Products!$A$2:$A$61,0)),"Add to Products"))</f>
        <v/>
      </c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2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3" t="n"/>
      <c r="Y112" s="13" t="n"/>
      <c r="Z112" s="14" t="n"/>
      <c r="AA112" s="10" t="n"/>
      <c r="AB112" s="10" t="n"/>
      <c r="AC112" s="10" t="n"/>
      <c r="AD112" s="10" t="n"/>
      <c r="AE112" s="10" t="n"/>
      <c r="AF112" s="10" t="n"/>
      <c r="AG112" s="13" t="n"/>
    </row>
    <row r="113">
      <c r="A113" s="10" t="n"/>
      <c r="B113" s="11">
        <f>IF($A113="","",IFERROR(INDEX(Products!$B$2:$B$61,MATCH($A113,Products!$A$2:$A$61,0)),"Add to Products"))</f>
        <v/>
      </c>
      <c r="C113" s="11">
        <f>IF($A113="","",IFERROR(INDEX(Products!$C$2:$C$61,MATCH($A113,Products!$A$2:$A$61,0)),"Add to Products"))</f>
        <v/>
      </c>
      <c r="D113" s="11">
        <f>IF($A113="","",IFERROR(INDEX(Products!$D$2:$D$61,MATCH($A113,Products!$A$2:$A$61,0)),"Add to Products"))</f>
        <v/>
      </c>
      <c r="E113" s="11">
        <f>IF($A113="","",IFERROR(INDEX(Products!$E$2:$E$61,MATCH($A113,Products!$A$2:$A$61,0)),"Add to Products"))</f>
        <v/>
      </c>
      <c r="F113" s="11">
        <f>IF($A113="","",IFERROR(INDEX(Products!$F$2:$F$61,MATCH($A113,Products!$A$2:$A$61,0)),"Add to Products"))</f>
        <v/>
      </c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2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3" t="n"/>
      <c r="Y113" s="13" t="n"/>
      <c r="Z113" s="14" t="n"/>
      <c r="AA113" s="10" t="n"/>
      <c r="AB113" s="10" t="n"/>
      <c r="AC113" s="10" t="n"/>
      <c r="AD113" s="10" t="n"/>
      <c r="AE113" s="10" t="n"/>
      <c r="AF113" s="10" t="n"/>
      <c r="AG113" s="13" t="n"/>
    </row>
    <row r="114">
      <c r="A114" s="10" t="n"/>
      <c r="B114" s="11">
        <f>IF($A114="","",IFERROR(INDEX(Products!$B$2:$B$61,MATCH($A114,Products!$A$2:$A$61,0)),"Add to Products"))</f>
        <v/>
      </c>
      <c r="C114" s="11">
        <f>IF($A114="","",IFERROR(INDEX(Products!$C$2:$C$61,MATCH($A114,Products!$A$2:$A$61,0)),"Add to Products"))</f>
        <v/>
      </c>
      <c r="D114" s="11">
        <f>IF($A114="","",IFERROR(INDEX(Products!$D$2:$D$61,MATCH($A114,Products!$A$2:$A$61,0)),"Add to Products"))</f>
        <v/>
      </c>
      <c r="E114" s="11">
        <f>IF($A114="","",IFERROR(INDEX(Products!$E$2:$E$61,MATCH($A114,Products!$A$2:$A$61,0)),"Add to Products"))</f>
        <v/>
      </c>
      <c r="F114" s="11">
        <f>IF($A114="","",IFERROR(INDEX(Products!$F$2:$F$61,MATCH($A114,Products!$A$2:$A$61,0)),"Add to Products"))</f>
        <v/>
      </c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2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3" t="n"/>
      <c r="Y114" s="13" t="n"/>
      <c r="Z114" s="14" t="n"/>
      <c r="AA114" s="10" t="n"/>
      <c r="AB114" s="10" t="n"/>
      <c r="AC114" s="10" t="n"/>
      <c r="AD114" s="10" t="n"/>
      <c r="AE114" s="10" t="n"/>
      <c r="AF114" s="10" t="n"/>
      <c r="AG114" s="13" t="n"/>
    </row>
    <row r="115">
      <c r="A115" s="10" t="n"/>
      <c r="B115" s="11">
        <f>IF($A115="","",IFERROR(INDEX(Products!$B$2:$B$61,MATCH($A115,Products!$A$2:$A$61,0)),"Add to Products"))</f>
        <v/>
      </c>
      <c r="C115" s="11">
        <f>IF($A115="","",IFERROR(INDEX(Products!$C$2:$C$61,MATCH($A115,Products!$A$2:$A$61,0)),"Add to Products"))</f>
        <v/>
      </c>
      <c r="D115" s="11">
        <f>IF($A115="","",IFERROR(INDEX(Products!$D$2:$D$61,MATCH($A115,Products!$A$2:$A$61,0)),"Add to Products"))</f>
        <v/>
      </c>
      <c r="E115" s="11">
        <f>IF($A115="","",IFERROR(INDEX(Products!$E$2:$E$61,MATCH($A115,Products!$A$2:$A$61,0)),"Add to Products"))</f>
        <v/>
      </c>
      <c r="F115" s="11">
        <f>IF($A115="","",IFERROR(INDEX(Products!$F$2:$F$61,MATCH($A115,Products!$A$2:$A$61,0)),"Add to Products"))</f>
        <v/>
      </c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2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3" t="n"/>
      <c r="Y115" s="13" t="n"/>
      <c r="Z115" s="14" t="n"/>
      <c r="AA115" s="10" t="n"/>
      <c r="AB115" s="10" t="n"/>
      <c r="AC115" s="10" t="n"/>
      <c r="AD115" s="10" t="n"/>
      <c r="AE115" s="10" t="n"/>
      <c r="AF115" s="10" t="n"/>
      <c r="AG115" s="13" t="n"/>
    </row>
    <row r="116">
      <c r="A116" s="10" t="n"/>
      <c r="B116" s="11">
        <f>IF($A116="","",IFERROR(INDEX(Products!$B$2:$B$61,MATCH($A116,Products!$A$2:$A$61,0)),"Add to Products"))</f>
        <v/>
      </c>
      <c r="C116" s="11">
        <f>IF($A116="","",IFERROR(INDEX(Products!$C$2:$C$61,MATCH($A116,Products!$A$2:$A$61,0)),"Add to Products"))</f>
        <v/>
      </c>
      <c r="D116" s="11">
        <f>IF($A116="","",IFERROR(INDEX(Products!$D$2:$D$61,MATCH($A116,Products!$A$2:$A$61,0)),"Add to Products"))</f>
        <v/>
      </c>
      <c r="E116" s="11">
        <f>IF($A116="","",IFERROR(INDEX(Products!$E$2:$E$61,MATCH($A116,Products!$A$2:$A$61,0)),"Add to Products"))</f>
        <v/>
      </c>
      <c r="F116" s="11">
        <f>IF($A116="","",IFERROR(INDEX(Products!$F$2:$F$61,MATCH($A116,Products!$A$2:$A$61,0)),"Add to Products"))</f>
        <v/>
      </c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2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3" t="n"/>
      <c r="Y116" s="13" t="n"/>
      <c r="Z116" s="14" t="n"/>
      <c r="AA116" s="10" t="n"/>
      <c r="AB116" s="10" t="n"/>
      <c r="AC116" s="10" t="n"/>
      <c r="AD116" s="10" t="n"/>
      <c r="AE116" s="10" t="n"/>
      <c r="AF116" s="10" t="n"/>
      <c r="AG116" s="13" t="n"/>
    </row>
    <row r="117">
      <c r="A117" s="10" t="n"/>
      <c r="B117" s="11">
        <f>IF($A117="","",IFERROR(INDEX(Products!$B$2:$B$61,MATCH($A117,Products!$A$2:$A$61,0)),"Add to Products"))</f>
        <v/>
      </c>
      <c r="C117" s="11">
        <f>IF($A117="","",IFERROR(INDEX(Products!$C$2:$C$61,MATCH($A117,Products!$A$2:$A$61,0)),"Add to Products"))</f>
        <v/>
      </c>
      <c r="D117" s="11">
        <f>IF($A117="","",IFERROR(INDEX(Products!$D$2:$D$61,MATCH($A117,Products!$A$2:$A$61,0)),"Add to Products"))</f>
        <v/>
      </c>
      <c r="E117" s="11">
        <f>IF($A117="","",IFERROR(INDEX(Products!$E$2:$E$61,MATCH($A117,Products!$A$2:$A$61,0)),"Add to Products"))</f>
        <v/>
      </c>
      <c r="F117" s="11">
        <f>IF($A117="","",IFERROR(INDEX(Products!$F$2:$F$61,MATCH($A117,Products!$A$2:$A$61,0)),"Add to Products"))</f>
        <v/>
      </c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2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3" t="n"/>
      <c r="Y117" s="13" t="n"/>
      <c r="Z117" s="14" t="n"/>
      <c r="AA117" s="10" t="n"/>
      <c r="AB117" s="10" t="n"/>
      <c r="AC117" s="10" t="n"/>
      <c r="AD117" s="10" t="n"/>
      <c r="AE117" s="10" t="n"/>
      <c r="AF117" s="10" t="n"/>
      <c r="AG117" s="13" t="n"/>
    </row>
    <row r="118">
      <c r="A118" s="10" t="n"/>
      <c r="B118" s="11">
        <f>IF($A118="","",IFERROR(INDEX(Products!$B$2:$B$61,MATCH($A118,Products!$A$2:$A$61,0)),"Add to Products"))</f>
        <v/>
      </c>
      <c r="C118" s="11">
        <f>IF($A118="","",IFERROR(INDEX(Products!$C$2:$C$61,MATCH($A118,Products!$A$2:$A$61,0)),"Add to Products"))</f>
        <v/>
      </c>
      <c r="D118" s="11">
        <f>IF($A118="","",IFERROR(INDEX(Products!$D$2:$D$61,MATCH($A118,Products!$A$2:$A$61,0)),"Add to Products"))</f>
        <v/>
      </c>
      <c r="E118" s="11">
        <f>IF($A118="","",IFERROR(INDEX(Products!$E$2:$E$61,MATCH($A118,Products!$A$2:$A$61,0)),"Add to Products"))</f>
        <v/>
      </c>
      <c r="F118" s="11">
        <f>IF($A118="","",IFERROR(INDEX(Products!$F$2:$F$61,MATCH($A118,Products!$A$2:$A$61,0)),"Add to Products"))</f>
        <v/>
      </c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2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3" t="n"/>
      <c r="Y118" s="13" t="n"/>
      <c r="Z118" s="14" t="n"/>
      <c r="AA118" s="10" t="n"/>
      <c r="AB118" s="10" t="n"/>
      <c r="AC118" s="10" t="n"/>
      <c r="AD118" s="10" t="n"/>
      <c r="AE118" s="10" t="n"/>
      <c r="AF118" s="10" t="n"/>
      <c r="AG118" s="13" t="n"/>
    </row>
    <row r="119">
      <c r="A119" s="10" t="n"/>
      <c r="B119" s="11">
        <f>IF($A119="","",IFERROR(INDEX(Products!$B$2:$B$61,MATCH($A119,Products!$A$2:$A$61,0)),"Add to Products"))</f>
        <v/>
      </c>
      <c r="C119" s="11">
        <f>IF($A119="","",IFERROR(INDEX(Products!$C$2:$C$61,MATCH($A119,Products!$A$2:$A$61,0)),"Add to Products"))</f>
        <v/>
      </c>
      <c r="D119" s="11">
        <f>IF($A119="","",IFERROR(INDEX(Products!$D$2:$D$61,MATCH($A119,Products!$A$2:$A$61,0)),"Add to Products"))</f>
        <v/>
      </c>
      <c r="E119" s="11">
        <f>IF($A119="","",IFERROR(INDEX(Products!$E$2:$E$61,MATCH($A119,Products!$A$2:$A$61,0)),"Add to Products"))</f>
        <v/>
      </c>
      <c r="F119" s="11">
        <f>IF($A119="","",IFERROR(INDEX(Products!$F$2:$F$61,MATCH($A119,Products!$A$2:$A$61,0)),"Add to Products"))</f>
        <v/>
      </c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2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3" t="n"/>
      <c r="Y119" s="13" t="n"/>
      <c r="Z119" s="14" t="n"/>
      <c r="AA119" s="10" t="n"/>
      <c r="AB119" s="10" t="n"/>
      <c r="AC119" s="10" t="n"/>
      <c r="AD119" s="10" t="n"/>
      <c r="AE119" s="10" t="n"/>
      <c r="AF119" s="10" t="n"/>
      <c r="AG119" s="13" t="n"/>
    </row>
    <row r="120">
      <c r="A120" s="10" t="n"/>
      <c r="B120" s="11">
        <f>IF($A120="","",IFERROR(INDEX(Products!$B$2:$B$61,MATCH($A120,Products!$A$2:$A$61,0)),"Add to Products"))</f>
        <v/>
      </c>
      <c r="C120" s="11">
        <f>IF($A120="","",IFERROR(INDEX(Products!$C$2:$C$61,MATCH($A120,Products!$A$2:$A$61,0)),"Add to Products"))</f>
        <v/>
      </c>
      <c r="D120" s="11">
        <f>IF($A120="","",IFERROR(INDEX(Products!$D$2:$D$61,MATCH($A120,Products!$A$2:$A$61,0)),"Add to Products"))</f>
        <v/>
      </c>
      <c r="E120" s="11">
        <f>IF($A120="","",IFERROR(INDEX(Products!$E$2:$E$61,MATCH($A120,Products!$A$2:$A$61,0)),"Add to Products"))</f>
        <v/>
      </c>
      <c r="F120" s="11">
        <f>IF($A120="","",IFERROR(INDEX(Products!$F$2:$F$61,MATCH($A120,Products!$A$2:$A$61,0)),"Add to Products"))</f>
        <v/>
      </c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2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3" t="n"/>
      <c r="Y120" s="13" t="n"/>
      <c r="Z120" s="14" t="n"/>
      <c r="AA120" s="10" t="n"/>
      <c r="AB120" s="10" t="n"/>
      <c r="AC120" s="10" t="n"/>
      <c r="AD120" s="10" t="n"/>
      <c r="AE120" s="10" t="n"/>
      <c r="AF120" s="10" t="n"/>
      <c r="AG120" s="13" t="n"/>
    </row>
    <row r="121">
      <c r="A121" s="10" t="n"/>
      <c r="B121" s="11">
        <f>IF($A121="","",IFERROR(INDEX(Products!$B$2:$B$61,MATCH($A121,Products!$A$2:$A$61,0)),"Add to Products"))</f>
        <v/>
      </c>
      <c r="C121" s="11">
        <f>IF($A121="","",IFERROR(INDEX(Products!$C$2:$C$61,MATCH($A121,Products!$A$2:$A$61,0)),"Add to Products"))</f>
        <v/>
      </c>
      <c r="D121" s="11">
        <f>IF($A121="","",IFERROR(INDEX(Products!$D$2:$D$61,MATCH($A121,Products!$A$2:$A$61,0)),"Add to Products"))</f>
        <v/>
      </c>
      <c r="E121" s="11">
        <f>IF($A121="","",IFERROR(INDEX(Products!$E$2:$E$61,MATCH($A121,Products!$A$2:$A$61,0)),"Add to Products"))</f>
        <v/>
      </c>
      <c r="F121" s="11">
        <f>IF($A121="","",IFERROR(INDEX(Products!$F$2:$F$61,MATCH($A121,Products!$A$2:$A$61,0)),"Add to Products"))</f>
        <v/>
      </c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2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3" t="n"/>
      <c r="Y121" s="13" t="n"/>
      <c r="Z121" s="14" t="n"/>
      <c r="AA121" s="10" t="n"/>
      <c r="AB121" s="10" t="n"/>
      <c r="AC121" s="10" t="n"/>
      <c r="AD121" s="10" t="n"/>
      <c r="AE121" s="10" t="n"/>
      <c r="AF121" s="10" t="n"/>
      <c r="AG121" s="13" t="n"/>
    </row>
    <row r="122">
      <c r="A122" s="10" t="n"/>
      <c r="B122" s="11">
        <f>IF($A122="","",IFERROR(INDEX(Products!$B$2:$B$61,MATCH($A122,Products!$A$2:$A$61,0)),"Add to Products"))</f>
        <v/>
      </c>
      <c r="C122" s="11">
        <f>IF($A122="","",IFERROR(INDEX(Products!$C$2:$C$61,MATCH($A122,Products!$A$2:$A$61,0)),"Add to Products"))</f>
        <v/>
      </c>
      <c r="D122" s="11">
        <f>IF($A122="","",IFERROR(INDEX(Products!$D$2:$D$61,MATCH($A122,Products!$A$2:$A$61,0)),"Add to Products"))</f>
        <v/>
      </c>
      <c r="E122" s="11">
        <f>IF($A122="","",IFERROR(INDEX(Products!$E$2:$E$61,MATCH($A122,Products!$A$2:$A$61,0)),"Add to Products"))</f>
        <v/>
      </c>
      <c r="F122" s="11">
        <f>IF($A122="","",IFERROR(INDEX(Products!$F$2:$F$61,MATCH($A122,Products!$A$2:$A$61,0)),"Add to Products"))</f>
        <v/>
      </c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2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3" t="n"/>
      <c r="Y122" s="13" t="n"/>
      <c r="Z122" s="14" t="n"/>
      <c r="AA122" s="10" t="n"/>
      <c r="AB122" s="10" t="n"/>
      <c r="AC122" s="10" t="n"/>
      <c r="AD122" s="10" t="n"/>
      <c r="AE122" s="10" t="n"/>
      <c r="AF122" s="10" t="n"/>
      <c r="AG122" s="13" t="n"/>
    </row>
    <row r="123">
      <c r="A123" s="10" t="n"/>
      <c r="B123" s="11">
        <f>IF($A123="","",IFERROR(INDEX(Products!$B$2:$B$61,MATCH($A123,Products!$A$2:$A$61,0)),"Add to Products"))</f>
        <v/>
      </c>
      <c r="C123" s="11">
        <f>IF($A123="","",IFERROR(INDEX(Products!$C$2:$C$61,MATCH($A123,Products!$A$2:$A$61,0)),"Add to Products"))</f>
        <v/>
      </c>
      <c r="D123" s="11">
        <f>IF($A123="","",IFERROR(INDEX(Products!$D$2:$D$61,MATCH($A123,Products!$A$2:$A$61,0)),"Add to Products"))</f>
        <v/>
      </c>
      <c r="E123" s="11">
        <f>IF($A123="","",IFERROR(INDEX(Products!$E$2:$E$61,MATCH($A123,Products!$A$2:$A$61,0)),"Add to Products"))</f>
        <v/>
      </c>
      <c r="F123" s="11">
        <f>IF($A123="","",IFERROR(INDEX(Products!$F$2:$F$61,MATCH($A123,Products!$A$2:$A$61,0)),"Add to Products"))</f>
        <v/>
      </c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2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3" t="n"/>
      <c r="Y123" s="13" t="n"/>
      <c r="Z123" s="14" t="n"/>
      <c r="AA123" s="10" t="n"/>
      <c r="AB123" s="10" t="n"/>
      <c r="AC123" s="10" t="n"/>
      <c r="AD123" s="10" t="n"/>
      <c r="AE123" s="10" t="n"/>
      <c r="AF123" s="10" t="n"/>
      <c r="AG123" s="13" t="n"/>
    </row>
    <row r="124">
      <c r="A124" s="10" t="n"/>
      <c r="B124" s="11">
        <f>IF($A124="","",IFERROR(INDEX(Products!$B$2:$B$61,MATCH($A124,Products!$A$2:$A$61,0)),"Add to Products"))</f>
        <v/>
      </c>
      <c r="C124" s="11">
        <f>IF($A124="","",IFERROR(INDEX(Products!$C$2:$C$61,MATCH($A124,Products!$A$2:$A$61,0)),"Add to Products"))</f>
        <v/>
      </c>
      <c r="D124" s="11">
        <f>IF($A124="","",IFERROR(INDEX(Products!$D$2:$D$61,MATCH($A124,Products!$A$2:$A$61,0)),"Add to Products"))</f>
        <v/>
      </c>
      <c r="E124" s="11">
        <f>IF($A124="","",IFERROR(INDEX(Products!$E$2:$E$61,MATCH($A124,Products!$A$2:$A$61,0)),"Add to Products"))</f>
        <v/>
      </c>
      <c r="F124" s="11">
        <f>IF($A124="","",IFERROR(INDEX(Products!$F$2:$F$61,MATCH($A124,Products!$A$2:$A$61,0)),"Add to Products"))</f>
        <v/>
      </c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2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3" t="n"/>
      <c r="Y124" s="13" t="n"/>
      <c r="Z124" s="14" t="n"/>
      <c r="AA124" s="10" t="n"/>
      <c r="AB124" s="10" t="n"/>
      <c r="AC124" s="10" t="n"/>
      <c r="AD124" s="10" t="n"/>
      <c r="AE124" s="10" t="n"/>
      <c r="AF124" s="10" t="n"/>
      <c r="AG124" s="13" t="n"/>
    </row>
    <row r="125">
      <c r="A125" s="10" t="n"/>
      <c r="B125" s="11">
        <f>IF($A125="","",IFERROR(INDEX(Products!$B$2:$B$61,MATCH($A125,Products!$A$2:$A$61,0)),"Add to Products"))</f>
        <v/>
      </c>
      <c r="C125" s="11">
        <f>IF($A125="","",IFERROR(INDEX(Products!$C$2:$C$61,MATCH($A125,Products!$A$2:$A$61,0)),"Add to Products"))</f>
        <v/>
      </c>
      <c r="D125" s="11">
        <f>IF($A125="","",IFERROR(INDEX(Products!$D$2:$D$61,MATCH($A125,Products!$A$2:$A$61,0)),"Add to Products"))</f>
        <v/>
      </c>
      <c r="E125" s="11">
        <f>IF($A125="","",IFERROR(INDEX(Products!$E$2:$E$61,MATCH($A125,Products!$A$2:$A$61,0)),"Add to Products"))</f>
        <v/>
      </c>
      <c r="F125" s="11">
        <f>IF($A125="","",IFERROR(INDEX(Products!$F$2:$F$61,MATCH($A125,Products!$A$2:$A$61,0)),"Add to Products"))</f>
        <v/>
      </c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2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3" t="n"/>
      <c r="Y125" s="13" t="n"/>
      <c r="Z125" s="14" t="n"/>
      <c r="AA125" s="10" t="n"/>
      <c r="AB125" s="10" t="n"/>
      <c r="AC125" s="10" t="n"/>
      <c r="AD125" s="10" t="n"/>
      <c r="AE125" s="10" t="n"/>
      <c r="AF125" s="10" t="n"/>
      <c r="AG125" s="13" t="n"/>
    </row>
    <row r="126">
      <c r="A126" s="10" t="n"/>
      <c r="B126" s="11">
        <f>IF($A126="","",IFERROR(INDEX(Products!$B$2:$B$61,MATCH($A126,Products!$A$2:$A$61,0)),"Add to Products"))</f>
        <v/>
      </c>
      <c r="C126" s="11">
        <f>IF($A126="","",IFERROR(INDEX(Products!$C$2:$C$61,MATCH($A126,Products!$A$2:$A$61,0)),"Add to Products"))</f>
        <v/>
      </c>
      <c r="D126" s="11">
        <f>IF($A126="","",IFERROR(INDEX(Products!$D$2:$D$61,MATCH($A126,Products!$A$2:$A$61,0)),"Add to Products"))</f>
        <v/>
      </c>
      <c r="E126" s="11">
        <f>IF($A126="","",IFERROR(INDEX(Products!$E$2:$E$61,MATCH($A126,Products!$A$2:$A$61,0)),"Add to Products"))</f>
        <v/>
      </c>
      <c r="F126" s="11">
        <f>IF($A126="","",IFERROR(INDEX(Products!$F$2:$F$61,MATCH($A126,Products!$A$2:$A$61,0)),"Add to Products"))</f>
        <v/>
      </c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2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3" t="n"/>
      <c r="Y126" s="13" t="n"/>
      <c r="Z126" s="14" t="n"/>
      <c r="AA126" s="10" t="n"/>
      <c r="AB126" s="10" t="n"/>
      <c r="AC126" s="10" t="n"/>
      <c r="AD126" s="10" t="n"/>
      <c r="AE126" s="10" t="n"/>
      <c r="AF126" s="10" t="n"/>
      <c r="AG126" s="13" t="n"/>
    </row>
    <row r="127">
      <c r="A127" s="10" t="n"/>
      <c r="B127" s="11">
        <f>IF($A127="","",IFERROR(INDEX(Products!$B$2:$B$61,MATCH($A127,Products!$A$2:$A$61,0)),"Add to Products"))</f>
        <v/>
      </c>
      <c r="C127" s="11">
        <f>IF($A127="","",IFERROR(INDEX(Products!$C$2:$C$61,MATCH($A127,Products!$A$2:$A$61,0)),"Add to Products"))</f>
        <v/>
      </c>
      <c r="D127" s="11">
        <f>IF($A127="","",IFERROR(INDEX(Products!$D$2:$D$61,MATCH($A127,Products!$A$2:$A$61,0)),"Add to Products"))</f>
        <v/>
      </c>
      <c r="E127" s="11">
        <f>IF($A127="","",IFERROR(INDEX(Products!$E$2:$E$61,MATCH($A127,Products!$A$2:$A$61,0)),"Add to Products"))</f>
        <v/>
      </c>
      <c r="F127" s="11">
        <f>IF($A127="","",IFERROR(INDEX(Products!$F$2:$F$61,MATCH($A127,Products!$A$2:$A$61,0)),"Add to Products"))</f>
        <v/>
      </c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2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3" t="n"/>
      <c r="Y127" s="13" t="n"/>
      <c r="Z127" s="14" t="n"/>
      <c r="AA127" s="10" t="n"/>
      <c r="AB127" s="10" t="n"/>
      <c r="AC127" s="10" t="n"/>
      <c r="AD127" s="10" t="n"/>
      <c r="AE127" s="10" t="n"/>
      <c r="AF127" s="10" t="n"/>
      <c r="AG127" s="13" t="n"/>
    </row>
    <row r="128">
      <c r="A128" s="10" t="n"/>
      <c r="B128" s="11">
        <f>IF($A128="","",IFERROR(INDEX(Products!$B$2:$B$61,MATCH($A128,Products!$A$2:$A$61,0)),"Add to Products"))</f>
        <v/>
      </c>
      <c r="C128" s="11">
        <f>IF($A128="","",IFERROR(INDEX(Products!$C$2:$C$61,MATCH($A128,Products!$A$2:$A$61,0)),"Add to Products"))</f>
        <v/>
      </c>
      <c r="D128" s="11">
        <f>IF($A128="","",IFERROR(INDEX(Products!$D$2:$D$61,MATCH($A128,Products!$A$2:$A$61,0)),"Add to Products"))</f>
        <v/>
      </c>
      <c r="E128" s="11">
        <f>IF($A128="","",IFERROR(INDEX(Products!$E$2:$E$61,MATCH($A128,Products!$A$2:$A$61,0)),"Add to Products"))</f>
        <v/>
      </c>
      <c r="F128" s="11">
        <f>IF($A128="","",IFERROR(INDEX(Products!$F$2:$F$61,MATCH($A128,Products!$A$2:$A$61,0)),"Add to Products"))</f>
        <v/>
      </c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2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3" t="n"/>
      <c r="Y128" s="13" t="n"/>
      <c r="Z128" s="14" t="n"/>
      <c r="AA128" s="10" t="n"/>
      <c r="AB128" s="10" t="n"/>
      <c r="AC128" s="10" t="n"/>
      <c r="AD128" s="10" t="n"/>
      <c r="AE128" s="10" t="n"/>
      <c r="AF128" s="10" t="n"/>
      <c r="AG128" s="13" t="n"/>
    </row>
    <row r="129">
      <c r="A129" s="10" t="n"/>
      <c r="B129" s="11">
        <f>IF($A129="","",IFERROR(INDEX(Products!$B$2:$B$61,MATCH($A129,Products!$A$2:$A$61,0)),"Add to Products"))</f>
        <v/>
      </c>
      <c r="C129" s="11">
        <f>IF($A129="","",IFERROR(INDEX(Products!$C$2:$C$61,MATCH($A129,Products!$A$2:$A$61,0)),"Add to Products"))</f>
        <v/>
      </c>
      <c r="D129" s="11">
        <f>IF($A129="","",IFERROR(INDEX(Products!$D$2:$D$61,MATCH($A129,Products!$A$2:$A$61,0)),"Add to Products"))</f>
        <v/>
      </c>
      <c r="E129" s="11">
        <f>IF($A129="","",IFERROR(INDEX(Products!$E$2:$E$61,MATCH($A129,Products!$A$2:$A$61,0)),"Add to Products"))</f>
        <v/>
      </c>
      <c r="F129" s="11">
        <f>IF($A129="","",IFERROR(INDEX(Products!$F$2:$F$61,MATCH($A129,Products!$A$2:$A$61,0)),"Add to Products"))</f>
        <v/>
      </c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2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3" t="n"/>
      <c r="Y129" s="13" t="n"/>
      <c r="Z129" s="14" t="n"/>
      <c r="AA129" s="10" t="n"/>
      <c r="AB129" s="10" t="n"/>
      <c r="AC129" s="10" t="n"/>
      <c r="AD129" s="10" t="n"/>
      <c r="AE129" s="10" t="n"/>
      <c r="AF129" s="10" t="n"/>
      <c r="AG129" s="13" t="n"/>
    </row>
    <row r="130">
      <c r="A130" s="10" t="n"/>
      <c r="B130" s="11">
        <f>IF($A130="","",IFERROR(INDEX(Products!$B$2:$B$61,MATCH($A130,Products!$A$2:$A$61,0)),"Add to Products"))</f>
        <v/>
      </c>
      <c r="C130" s="11">
        <f>IF($A130="","",IFERROR(INDEX(Products!$C$2:$C$61,MATCH($A130,Products!$A$2:$A$61,0)),"Add to Products"))</f>
        <v/>
      </c>
      <c r="D130" s="11">
        <f>IF($A130="","",IFERROR(INDEX(Products!$D$2:$D$61,MATCH($A130,Products!$A$2:$A$61,0)),"Add to Products"))</f>
        <v/>
      </c>
      <c r="E130" s="11">
        <f>IF($A130="","",IFERROR(INDEX(Products!$E$2:$E$61,MATCH($A130,Products!$A$2:$A$61,0)),"Add to Products"))</f>
        <v/>
      </c>
      <c r="F130" s="11">
        <f>IF($A130="","",IFERROR(INDEX(Products!$F$2:$F$61,MATCH($A130,Products!$A$2:$A$61,0)),"Add to Products"))</f>
        <v/>
      </c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2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3" t="n"/>
      <c r="Y130" s="13" t="n"/>
      <c r="Z130" s="14" t="n"/>
      <c r="AA130" s="10" t="n"/>
      <c r="AB130" s="10" t="n"/>
      <c r="AC130" s="10" t="n"/>
      <c r="AD130" s="10" t="n"/>
      <c r="AE130" s="10" t="n"/>
      <c r="AF130" s="10" t="n"/>
      <c r="AG130" s="13" t="n"/>
    </row>
    <row r="131">
      <c r="A131" s="10" t="n"/>
      <c r="B131" s="11">
        <f>IF($A131="","",IFERROR(INDEX(Products!$B$2:$B$61,MATCH($A131,Products!$A$2:$A$61,0)),"Add to Products"))</f>
        <v/>
      </c>
      <c r="C131" s="11">
        <f>IF($A131="","",IFERROR(INDEX(Products!$C$2:$C$61,MATCH($A131,Products!$A$2:$A$61,0)),"Add to Products"))</f>
        <v/>
      </c>
      <c r="D131" s="11">
        <f>IF($A131="","",IFERROR(INDEX(Products!$D$2:$D$61,MATCH($A131,Products!$A$2:$A$61,0)),"Add to Products"))</f>
        <v/>
      </c>
      <c r="E131" s="11">
        <f>IF($A131="","",IFERROR(INDEX(Products!$E$2:$E$61,MATCH($A131,Products!$A$2:$A$61,0)),"Add to Products"))</f>
        <v/>
      </c>
      <c r="F131" s="11">
        <f>IF($A131="","",IFERROR(INDEX(Products!$F$2:$F$61,MATCH($A131,Products!$A$2:$A$61,0)),"Add to Products"))</f>
        <v/>
      </c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2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3" t="n"/>
      <c r="Y131" s="13" t="n"/>
      <c r="Z131" s="14" t="n"/>
      <c r="AA131" s="10" t="n"/>
      <c r="AB131" s="10" t="n"/>
      <c r="AC131" s="10" t="n"/>
      <c r="AD131" s="10" t="n"/>
      <c r="AE131" s="10" t="n"/>
      <c r="AF131" s="10" t="n"/>
      <c r="AG131" s="13" t="n"/>
    </row>
    <row r="132">
      <c r="A132" s="10" t="n"/>
      <c r="B132" s="11">
        <f>IF($A132="","",IFERROR(INDEX(Products!$B$2:$B$61,MATCH($A132,Products!$A$2:$A$61,0)),"Add to Products"))</f>
        <v/>
      </c>
      <c r="C132" s="11">
        <f>IF($A132="","",IFERROR(INDEX(Products!$C$2:$C$61,MATCH($A132,Products!$A$2:$A$61,0)),"Add to Products"))</f>
        <v/>
      </c>
      <c r="D132" s="11">
        <f>IF($A132="","",IFERROR(INDEX(Products!$D$2:$D$61,MATCH($A132,Products!$A$2:$A$61,0)),"Add to Products"))</f>
        <v/>
      </c>
      <c r="E132" s="11">
        <f>IF($A132="","",IFERROR(INDEX(Products!$E$2:$E$61,MATCH($A132,Products!$A$2:$A$61,0)),"Add to Products"))</f>
        <v/>
      </c>
      <c r="F132" s="11">
        <f>IF($A132="","",IFERROR(INDEX(Products!$F$2:$F$61,MATCH($A132,Products!$A$2:$A$61,0)),"Add to Products"))</f>
        <v/>
      </c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2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3" t="n"/>
      <c r="Y132" s="13" t="n"/>
      <c r="Z132" s="14" t="n"/>
      <c r="AA132" s="10" t="n"/>
      <c r="AB132" s="10" t="n"/>
      <c r="AC132" s="10" t="n"/>
      <c r="AD132" s="10" t="n"/>
      <c r="AE132" s="10" t="n"/>
      <c r="AF132" s="10" t="n"/>
      <c r="AG132" s="13" t="n"/>
    </row>
    <row r="133">
      <c r="A133" s="10" t="n"/>
      <c r="B133" s="11">
        <f>IF($A133="","",IFERROR(INDEX(Products!$B$2:$B$61,MATCH($A133,Products!$A$2:$A$61,0)),"Add to Products"))</f>
        <v/>
      </c>
      <c r="C133" s="11">
        <f>IF($A133="","",IFERROR(INDEX(Products!$C$2:$C$61,MATCH($A133,Products!$A$2:$A$61,0)),"Add to Products"))</f>
        <v/>
      </c>
      <c r="D133" s="11">
        <f>IF($A133="","",IFERROR(INDEX(Products!$D$2:$D$61,MATCH($A133,Products!$A$2:$A$61,0)),"Add to Products"))</f>
        <v/>
      </c>
      <c r="E133" s="11">
        <f>IF($A133="","",IFERROR(INDEX(Products!$E$2:$E$61,MATCH($A133,Products!$A$2:$A$61,0)),"Add to Products"))</f>
        <v/>
      </c>
      <c r="F133" s="11">
        <f>IF($A133="","",IFERROR(INDEX(Products!$F$2:$F$61,MATCH($A133,Products!$A$2:$A$61,0)),"Add to Products"))</f>
        <v/>
      </c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2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3" t="n"/>
      <c r="Y133" s="13" t="n"/>
      <c r="Z133" s="14" t="n"/>
      <c r="AA133" s="10" t="n"/>
      <c r="AB133" s="10" t="n"/>
      <c r="AC133" s="10" t="n"/>
      <c r="AD133" s="10" t="n"/>
      <c r="AE133" s="10" t="n"/>
      <c r="AF133" s="10" t="n"/>
      <c r="AG133" s="13" t="n"/>
    </row>
    <row r="134">
      <c r="A134" s="10" t="n"/>
      <c r="B134" s="11">
        <f>IF($A134="","",IFERROR(INDEX(Products!$B$2:$B$61,MATCH($A134,Products!$A$2:$A$61,0)),"Add to Products"))</f>
        <v/>
      </c>
      <c r="C134" s="11">
        <f>IF($A134="","",IFERROR(INDEX(Products!$C$2:$C$61,MATCH($A134,Products!$A$2:$A$61,0)),"Add to Products"))</f>
        <v/>
      </c>
      <c r="D134" s="11">
        <f>IF($A134="","",IFERROR(INDEX(Products!$D$2:$D$61,MATCH($A134,Products!$A$2:$A$61,0)),"Add to Products"))</f>
        <v/>
      </c>
      <c r="E134" s="11">
        <f>IF($A134="","",IFERROR(INDEX(Products!$E$2:$E$61,MATCH($A134,Products!$A$2:$A$61,0)),"Add to Products"))</f>
        <v/>
      </c>
      <c r="F134" s="11">
        <f>IF($A134="","",IFERROR(INDEX(Products!$F$2:$F$61,MATCH($A134,Products!$A$2:$A$61,0)),"Add to Products"))</f>
        <v/>
      </c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2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3" t="n"/>
      <c r="Y134" s="13" t="n"/>
      <c r="Z134" s="14" t="n"/>
      <c r="AA134" s="10" t="n"/>
      <c r="AB134" s="10" t="n"/>
      <c r="AC134" s="10" t="n"/>
      <c r="AD134" s="10" t="n"/>
      <c r="AE134" s="10" t="n"/>
      <c r="AF134" s="10" t="n"/>
      <c r="AG134" s="13" t="n"/>
    </row>
    <row r="135">
      <c r="A135" s="10" t="n"/>
      <c r="B135" s="11">
        <f>IF($A135="","",IFERROR(INDEX(Products!$B$2:$B$61,MATCH($A135,Products!$A$2:$A$61,0)),"Add to Products"))</f>
        <v/>
      </c>
      <c r="C135" s="11">
        <f>IF($A135="","",IFERROR(INDEX(Products!$C$2:$C$61,MATCH($A135,Products!$A$2:$A$61,0)),"Add to Products"))</f>
        <v/>
      </c>
      <c r="D135" s="11">
        <f>IF($A135="","",IFERROR(INDEX(Products!$D$2:$D$61,MATCH($A135,Products!$A$2:$A$61,0)),"Add to Products"))</f>
        <v/>
      </c>
      <c r="E135" s="11">
        <f>IF($A135="","",IFERROR(INDEX(Products!$E$2:$E$61,MATCH($A135,Products!$A$2:$A$61,0)),"Add to Products"))</f>
        <v/>
      </c>
      <c r="F135" s="11">
        <f>IF($A135="","",IFERROR(INDEX(Products!$F$2:$F$61,MATCH($A135,Products!$A$2:$A$61,0)),"Add to Products"))</f>
        <v/>
      </c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2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3" t="n"/>
      <c r="Y135" s="13" t="n"/>
      <c r="Z135" s="14" t="n"/>
      <c r="AA135" s="10" t="n"/>
      <c r="AB135" s="10" t="n"/>
      <c r="AC135" s="10" t="n"/>
      <c r="AD135" s="10" t="n"/>
      <c r="AE135" s="10" t="n"/>
      <c r="AF135" s="10" t="n"/>
      <c r="AG135" s="13" t="n"/>
    </row>
    <row r="136">
      <c r="A136" s="10" t="n"/>
      <c r="B136" s="11">
        <f>IF($A136="","",IFERROR(INDEX(Products!$B$2:$B$61,MATCH($A136,Products!$A$2:$A$61,0)),"Add to Products"))</f>
        <v/>
      </c>
      <c r="C136" s="11">
        <f>IF($A136="","",IFERROR(INDEX(Products!$C$2:$C$61,MATCH($A136,Products!$A$2:$A$61,0)),"Add to Products"))</f>
        <v/>
      </c>
      <c r="D136" s="11">
        <f>IF($A136="","",IFERROR(INDEX(Products!$D$2:$D$61,MATCH($A136,Products!$A$2:$A$61,0)),"Add to Products"))</f>
        <v/>
      </c>
      <c r="E136" s="11">
        <f>IF($A136="","",IFERROR(INDEX(Products!$E$2:$E$61,MATCH($A136,Products!$A$2:$A$61,0)),"Add to Products"))</f>
        <v/>
      </c>
      <c r="F136" s="11">
        <f>IF($A136="","",IFERROR(INDEX(Products!$F$2:$F$61,MATCH($A136,Products!$A$2:$A$61,0)),"Add to Products"))</f>
        <v/>
      </c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2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3" t="n"/>
      <c r="Y136" s="13" t="n"/>
      <c r="Z136" s="14" t="n"/>
      <c r="AA136" s="10" t="n"/>
      <c r="AB136" s="10" t="n"/>
      <c r="AC136" s="10" t="n"/>
      <c r="AD136" s="10" t="n"/>
      <c r="AE136" s="10" t="n"/>
      <c r="AF136" s="10" t="n"/>
      <c r="AG136" s="13" t="n"/>
    </row>
    <row r="137">
      <c r="A137" s="10" t="n"/>
      <c r="B137" s="11">
        <f>IF($A137="","",IFERROR(INDEX(Products!$B$2:$B$61,MATCH($A137,Products!$A$2:$A$61,0)),"Add to Products"))</f>
        <v/>
      </c>
      <c r="C137" s="11">
        <f>IF($A137="","",IFERROR(INDEX(Products!$C$2:$C$61,MATCH($A137,Products!$A$2:$A$61,0)),"Add to Products"))</f>
        <v/>
      </c>
      <c r="D137" s="11">
        <f>IF($A137="","",IFERROR(INDEX(Products!$D$2:$D$61,MATCH($A137,Products!$A$2:$A$61,0)),"Add to Products"))</f>
        <v/>
      </c>
      <c r="E137" s="11">
        <f>IF($A137="","",IFERROR(INDEX(Products!$E$2:$E$61,MATCH($A137,Products!$A$2:$A$61,0)),"Add to Products"))</f>
        <v/>
      </c>
      <c r="F137" s="11">
        <f>IF($A137="","",IFERROR(INDEX(Products!$F$2:$F$61,MATCH($A137,Products!$A$2:$A$61,0)),"Add to Products"))</f>
        <v/>
      </c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2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3" t="n"/>
      <c r="Y137" s="13" t="n"/>
      <c r="Z137" s="14" t="n"/>
      <c r="AA137" s="10" t="n"/>
      <c r="AB137" s="10" t="n"/>
      <c r="AC137" s="10" t="n"/>
      <c r="AD137" s="10" t="n"/>
      <c r="AE137" s="10" t="n"/>
      <c r="AF137" s="10" t="n"/>
      <c r="AG137" s="13" t="n"/>
    </row>
    <row r="138">
      <c r="A138" s="10" t="n"/>
      <c r="B138" s="11">
        <f>IF($A138="","",IFERROR(INDEX(Products!$B$2:$B$61,MATCH($A138,Products!$A$2:$A$61,0)),"Add to Products"))</f>
        <v/>
      </c>
      <c r="C138" s="11">
        <f>IF($A138="","",IFERROR(INDEX(Products!$C$2:$C$61,MATCH($A138,Products!$A$2:$A$61,0)),"Add to Products"))</f>
        <v/>
      </c>
      <c r="D138" s="11">
        <f>IF($A138="","",IFERROR(INDEX(Products!$D$2:$D$61,MATCH($A138,Products!$A$2:$A$61,0)),"Add to Products"))</f>
        <v/>
      </c>
      <c r="E138" s="11">
        <f>IF($A138="","",IFERROR(INDEX(Products!$E$2:$E$61,MATCH($A138,Products!$A$2:$A$61,0)),"Add to Products"))</f>
        <v/>
      </c>
      <c r="F138" s="11">
        <f>IF($A138="","",IFERROR(INDEX(Products!$F$2:$F$61,MATCH($A138,Products!$A$2:$A$61,0)),"Add to Products"))</f>
        <v/>
      </c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2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3" t="n"/>
      <c r="Y138" s="13" t="n"/>
      <c r="Z138" s="14" t="n"/>
      <c r="AA138" s="10" t="n"/>
      <c r="AB138" s="10" t="n"/>
      <c r="AC138" s="10" t="n"/>
      <c r="AD138" s="10" t="n"/>
      <c r="AE138" s="10" t="n"/>
      <c r="AF138" s="10" t="n"/>
      <c r="AG138" s="13" t="n"/>
    </row>
    <row r="139">
      <c r="A139" s="10" t="n"/>
      <c r="B139" s="11">
        <f>IF($A139="","",IFERROR(INDEX(Products!$B$2:$B$61,MATCH($A139,Products!$A$2:$A$61,0)),"Add to Products"))</f>
        <v/>
      </c>
      <c r="C139" s="11">
        <f>IF($A139="","",IFERROR(INDEX(Products!$C$2:$C$61,MATCH($A139,Products!$A$2:$A$61,0)),"Add to Products"))</f>
        <v/>
      </c>
      <c r="D139" s="11">
        <f>IF($A139="","",IFERROR(INDEX(Products!$D$2:$D$61,MATCH($A139,Products!$A$2:$A$61,0)),"Add to Products"))</f>
        <v/>
      </c>
      <c r="E139" s="11">
        <f>IF($A139="","",IFERROR(INDEX(Products!$E$2:$E$61,MATCH($A139,Products!$A$2:$A$61,0)),"Add to Products"))</f>
        <v/>
      </c>
      <c r="F139" s="11">
        <f>IF($A139="","",IFERROR(INDEX(Products!$F$2:$F$61,MATCH($A139,Products!$A$2:$A$61,0)),"Add to Products"))</f>
        <v/>
      </c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2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3" t="n"/>
      <c r="Y139" s="13" t="n"/>
      <c r="Z139" s="14" t="n"/>
      <c r="AA139" s="10" t="n"/>
      <c r="AB139" s="10" t="n"/>
      <c r="AC139" s="10" t="n"/>
      <c r="AD139" s="10" t="n"/>
      <c r="AE139" s="10" t="n"/>
      <c r="AF139" s="10" t="n"/>
      <c r="AG139" s="13" t="n"/>
    </row>
    <row r="140">
      <c r="A140" s="10" t="n"/>
      <c r="B140" s="11">
        <f>IF($A140="","",IFERROR(INDEX(Products!$B$2:$B$61,MATCH($A140,Products!$A$2:$A$61,0)),"Add to Products"))</f>
        <v/>
      </c>
      <c r="C140" s="11">
        <f>IF($A140="","",IFERROR(INDEX(Products!$C$2:$C$61,MATCH($A140,Products!$A$2:$A$61,0)),"Add to Products"))</f>
        <v/>
      </c>
      <c r="D140" s="11">
        <f>IF($A140="","",IFERROR(INDEX(Products!$D$2:$D$61,MATCH($A140,Products!$A$2:$A$61,0)),"Add to Products"))</f>
        <v/>
      </c>
      <c r="E140" s="11">
        <f>IF($A140="","",IFERROR(INDEX(Products!$E$2:$E$61,MATCH($A140,Products!$A$2:$A$61,0)),"Add to Products"))</f>
        <v/>
      </c>
      <c r="F140" s="11">
        <f>IF($A140="","",IFERROR(INDEX(Products!$F$2:$F$61,MATCH($A140,Products!$A$2:$A$61,0)),"Add to Products"))</f>
        <v/>
      </c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2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3" t="n"/>
      <c r="Y140" s="13" t="n"/>
      <c r="Z140" s="14" t="n"/>
      <c r="AA140" s="10" t="n"/>
      <c r="AB140" s="10" t="n"/>
      <c r="AC140" s="10" t="n"/>
      <c r="AD140" s="10" t="n"/>
      <c r="AE140" s="10" t="n"/>
      <c r="AF140" s="10" t="n"/>
      <c r="AG140" s="13" t="n"/>
    </row>
    <row r="141">
      <c r="A141" s="10" t="n"/>
      <c r="B141" s="11">
        <f>IF($A141="","",IFERROR(INDEX(Products!$B$2:$B$61,MATCH($A141,Products!$A$2:$A$61,0)),"Add to Products"))</f>
        <v/>
      </c>
      <c r="C141" s="11">
        <f>IF($A141="","",IFERROR(INDEX(Products!$C$2:$C$61,MATCH($A141,Products!$A$2:$A$61,0)),"Add to Products"))</f>
        <v/>
      </c>
      <c r="D141" s="11">
        <f>IF($A141="","",IFERROR(INDEX(Products!$D$2:$D$61,MATCH($A141,Products!$A$2:$A$61,0)),"Add to Products"))</f>
        <v/>
      </c>
      <c r="E141" s="11">
        <f>IF($A141="","",IFERROR(INDEX(Products!$E$2:$E$61,MATCH($A141,Products!$A$2:$A$61,0)),"Add to Products"))</f>
        <v/>
      </c>
      <c r="F141" s="11">
        <f>IF($A141="","",IFERROR(INDEX(Products!$F$2:$F$61,MATCH($A141,Products!$A$2:$A$61,0)),"Add to Products"))</f>
        <v/>
      </c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2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3" t="n"/>
      <c r="Y141" s="13" t="n"/>
      <c r="Z141" s="14" t="n"/>
      <c r="AA141" s="10" t="n"/>
      <c r="AB141" s="10" t="n"/>
      <c r="AC141" s="10" t="n"/>
      <c r="AD141" s="10" t="n"/>
      <c r="AE141" s="10" t="n"/>
      <c r="AF141" s="10" t="n"/>
      <c r="AG141" s="13" t="n"/>
    </row>
    <row r="142">
      <c r="A142" s="10" t="n"/>
      <c r="B142" s="11">
        <f>IF($A142="","",IFERROR(INDEX(Products!$B$2:$B$61,MATCH($A142,Products!$A$2:$A$61,0)),"Add to Products"))</f>
        <v/>
      </c>
      <c r="C142" s="11">
        <f>IF($A142="","",IFERROR(INDEX(Products!$C$2:$C$61,MATCH($A142,Products!$A$2:$A$61,0)),"Add to Products"))</f>
        <v/>
      </c>
      <c r="D142" s="11">
        <f>IF($A142="","",IFERROR(INDEX(Products!$D$2:$D$61,MATCH($A142,Products!$A$2:$A$61,0)),"Add to Products"))</f>
        <v/>
      </c>
      <c r="E142" s="11">
        <f>IF($A142="","",IFERROR(INDEX(Products!$E$2:$E$61,MATCH($A142,Products!$A$2:$A$61,0)),"Add to Products"))</f>
        <v/>
      </c>
      <c r="F142" s="11">
        <f>IF($A142="","",IFERROR(INDEX(Products!$F$2:$F$61,MATCH($A142,Products!$A$2:$A$61,0)),"Add to Products"))</f>
        <v/>
      </c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2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3" t="n"/>
      <c r="Y142" s="13" t="n"/>
      <c r="Z142" s="14" t="n"/>
      <c r="AA142" s="10" t="n"/>
      <c r="AB142" s="10" t="n"/>
      <c r="AC142" s="10" t="n"/>
      <c r="AD142" s="10" t="n"/>
      <c r="AE142" s="10" t="n"/>
      <c r="AF142" s="10" t="n"/>
      <c r="AG142" s="13" t="n"/>
    </row>
    <row r="143">
      <c r="A143" s="10" t="n"/>
      <c r="B143" s="11">
        <f>IF($A143="","",IFERROR(INDEX(Products!$B$2:$B$61,MATCH($A143,Products!$A$2:$A$61,0)),"Add to Products"))</f>
        <v/>
      </c>
      <c r="C143" s="11">
        <f>IF($A143="","",IFERROR(INDEX(Products!$C$2:$C$61,MATCH($A143,Products!$A$2:$A$61,0)),"Add to Products"))</f>
        <v/>
      </c>
      <c r="D143" s="11">
        <f>IF($A143="","",IFERROR(INDEX(Products!$D$2:$D$61,MATCH($A143,Products!$A$2:$A$61,0)),"Add to Products"))</f>
        <v/>
      </c>
      <c r="E143" s="11">
        <f>IF($A143="","",IFERROR(INDEX(Products!$E$2:$E$61,MATCH($A143,Products!$A$2:$A$61,0)),"Add to Products"))</f>
        <v/>
      </c>
      <c r="F143" s="11">
        <f>IF($A143="","",IFERROR(INDEX(Products!$F$2:$F$61,MATCH($A143,Products!$A$2:$A$61,0)),"Add to Products"))</f>
        <v/>
      </c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2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3" t="n"/>
      <c r="Y143" s="13" t="n"/>
      <c r="Z143" s="14" t="n"/>
      <c r="AA143" s="10" t="n"/>
      <c r="AB143" s="10" t="n"/>
      <c r="AC143" s="10" t="n"/>
      <c r="AD143" s="10" t="n"/>
      <c r="AE143" s="10" t="n"/>
      <c r="AF143" s="10" t="n"/>
      <c r="AG143" s="13" t="n"/>
    </row>
    <row r="144">
      <c r="A144" s="10" t="n"/>
      <c r="B144" s="11">
        <f>IF($A144="","",IFERROR(INDEX(Products!$B$2:$B$61,MATCH($A144,Products!$A$2:$A$61,0)),"Add to Products"))</f>
        <v/>
      </c>
      <c r="C144" s="11">
        <f>IF($A144="","",IFERROR(INDEX(Products!$C$2:$C$61,MATCH($A144,Products!$A$2:$A$61,0)),"Add to Products"))</f>
        <v/>
      </c>
      <c r="D144" s="11">
        <f>IF($A144="","",IFERROR(INDEX(Products!$D$2:$D$61,MATCH($A144,Products!$A$2:$A$61,0)),"Add to Products"))</f>
        <v/>
      </c>
      <c r="E144" s="11">
        <f>IF($A144="","",IFERROR(INDEX(Products!$E$2:$E$61,MATCH($A144,Products!$A$2:$A$61,0)),"Add to Products"))</f>
        <v/>
      </c>
      <c r="F144" s="11">
        <f>IF($A144="","",IFERROR(INDEX(Products!$F$2:$F$61,MATCH($A144,Products!$A$2:$A$61,0)),"Add to Products"))</f>
        <v/>
      </c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2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3" t="n"/>
      <c r="Y144" s="13" t="n"/>
      <c r="Z144" s="14" t="n"/>
      <c r="AA144" s="10" t="n"/>
      <c r="AB144" s="10" t="n"/>
      <c r="AC144" s="10" t="n"/>
      <c r="AD144" s="10" t="n"/>
      <c r="AE144" s="10" t="n"/>
      <c r="AF144" s="10" t="n"/>
      <c r="AG144" s="13" t="n"/>
    </row>
    <row r="145">
      <c r="A145" s="10" t="n"/>
      <c r="B145" s="11">
        <f>IF($A145="","",IFERROR(INDEX(Products!$B$2:$B$61,MATCH($A145,Products!$A$2:$A$61,0)),"Add to Products"))</f>
        <v/>
      </c>
      <c r="C145" s="11">
        <f>IF($A145="","",IFERROR(INDEX(Products!$C$2:$C$61,MATCH($A145,Products!$A$2:$A$61,0)),"Add to Products"))</f>
        <v/>
      </c>
      <c r="D145" s="11">
        <f>IF($A145="","",IFERROR(INDEX(Products!$D$2:$D$61,MATCH($A145,Products!$A$2:$A$61,0)),"Add to Products"))</f>
        <v/>
      </c>
      <c r="E145" s="11">
        <f>IF($A145="","",IFERROR(INDEX(Products!$E$2:$E$61,MATCH($A145,Products!$A$2:$A$61,0)),"Add to Products"))</f>
        <v/>
      </c>
      <c r="F145" s="11">
        <f>IF($A145="","",IFERROR(INDEX(Products!$F$2:$F$61,MATCH($A145,Products!$A$2:$A$61,0)),"Add to Products"))</f>
        <v/>
      </c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2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3" t="n"/>
      <c r="Y145" s="13" t="n"/>
      <c r="Z145" s="14" t="n"/>
      <c r="AA145" s="10" t="n"/>
      <c r="AB145" s="10" t="n"/>
      <c r="AC145" s="10" t="n"/>
      <c r="AD145" s="10" t="n"/>
      <c r="AE145" s="10" t="n"/>
      <c r="AF145" s="10" t="n"/>
      <c r="AG145" s="13" t="n"/>
    </row>
    <row r="146">
      <c r="A146" s="10" t="n"/>
      <c r="B146" s="11">
        <f>IF($A146="","",IFERROR(INDEX(Products!$B$2:$B$61,MATCH($A146,Products!$A$2:$A$61,0)),"Add to Products"))</f>
        <v/>
      </c>
      <c r="C146" s="11">
        <f>IF($A146="","",IFERROR(INDEX(Products!$C$2:$C$61,MATCH($A146,Products!$A$2:$A$61,0)),"Add to Products"))</f>
        <v/>
      </c>
      <c r="D146" s="11">
        <f>IF($A146="","",IFERROR(INDEX(Products!$D$2:$D$61,MATCH($A146,Products!$A$2:$A$61,0)),"Add to Products"))</f>
        <v/>
      </c>
      <c r="E146" s="11">
        <f>IF($A146="","",IFERROR(INDEX(Products!$E$2:$E$61,MATCH($A146,Products!$A$2:$A$61,0)),"Add to Products"))</f>
        <v/>
      </c>
      <c r="F146" s="11">
        <f>IF($A146="","",IFERROR(INDEX(Products!$F$2:$F$61,MATCH($A146,Products!$A$2:$A$61,0)),"Add to Products"))</f>
        <v/>
      </c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2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3" t="n"/>
      <c r="Y146" s="13" t="n"/>
      <c r="Z146" s="14" t="n"/>
      <c r="AA146" s="10" t="n"/>
      <c r="AB146" s="10" t="n"/>
      <c r="AC146" s="10" t="n"/>
      <c r="AD146" s="10" t="n"/>
      <c r="AE146" s="10" t="n"/>
      <c r="AF146" s="10" t="n"/>
      <c r="AG146" s="13" t="n"/>
    </row>
    <row r="147">
      <c r="A147" s="10" t="n"/>
      <c r="B147" s="11">
        <f>IF($A147="","",IFERROR(INDEX(Products!$B$2:$B$61,MATCH($A147,Products!$A$2:$A$61,0)),"Add to Products"))</f>
        <v/>
      </c>
      <c r="C147" s="11">
        <f>IF($A147="","",IFERROR(INDEX(Products!$C$2:$C$61,MATCH($A147,Products!$A$2:$A$61,0)),"Add to Products"))</f>
        <v/>
      </c>
      <c r="D147" s="11">
        <f>IF($A147="","",IFERROR(INDEX(Products!$D$2:$D$61,MATCH($A147,Products!$A$2:$A$61,0)),"Add to Products"))</f>
        <v/>
      </c>
      <c r="E147" s="11">
        <f>IF($A147="","",IFERROR(INDEX(Products!$E$2:$E$61,MATCH($A147,Products!$A$2:$A$61,0)),"Add to Products"))</f>
        <v/>
      </c>
      <c r="F147" s="11">
        <f>IF($A147="","",IFERROR(INDEX(Products!$F$2:$F$61,MATCH($A147,Products!$A$2:$A$61,0)),"Add to Products"))</f>
        <v/>
      </c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2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3" t="n"/>
      <c r="Y147" s="13" t="n"/>
      <c r="Z147" s="14" t="n"/>
      <c r="AA147" s="10" t="n"/>
      <c r="AB147" s="10" t="n"/>
      <c r="AC147" s="10" t="n"/>
      <c r="AD147" s="10" t="n"/>
      <c r="AE147" s="10" t="n"/>
      <c r="AF147" s="10" t="n"/>
      <c r="AG147" s="13" t="n"/>
    </row>
    <row r="148">
      <c r="A148" s="10" t="n"/>
      <c r="B148" s="11">
        <f>IF($A148="","",IFERROR(INDEX(Products!$B$2:$B$61,MATCH($A148,Products!$A$2:$A$61,0)),"Add to Products"))</f>
        <v/>
      </c>
      <c r="C148" s="11">
        <f>IF($A148="","",IFERROR(INDEX(Products!$C$2:$C$61,MATCH($A148,Products!$A$2:$A$61,0)),"Add to Products"))</f>
        <v/>
      </c>
      <c r="D148" s="11">
        <f>IF($A148="","",IFERROR(INDEX(Products!$D$2:$D$61,MATCH($A148,Products!$A$2:$A$61,0)),"Add to Products"))</f>
        <v/>
      </c>
      <c r="E148" s="11">
        <f>IF($A148="","",IFERROR(INDEX(Products!$E$2:$E$61,MATCH($A148,Products!$A$2:$A$61,0)),"Add to Products"))</f>
        <v/>
      </c>
      <c r="F148" s="11">
        <f>IF($A148="","",IFERROR(INDEX(Products!$F$2:$F$61,MATCH($A148,Products!$A$2:$A$61,0)),"Add to Products"))</f>
        <v/>
      </c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2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3" t="n"/>
      <c r="Y148" s="13" t="n"/>
      <c r="Z148" s="14" t="n"/>
      <c r="AA148" s="10" t="n"/>
      <c r="AB148" s="10" t="n"/>
      <c r="AC148" s="10" t="n"/>
      <c r="AD148" s="10" t="n"/>
      <c r="AE148" s="10" t="n"/>
      <c r="AF148" s="10" t="n"/>
      <c r="AG148" s="13" t="n"/>
    </row>
    <row r="149">
      <c r="A149" s="10" t="n"/>
      <c r="B149" s="11">
        <f>IF($A149="","",IFERROR(INDEX(Products!$B$2:$B$61,MATCH($A149,Products!$A$2:$A$61,0)),"Add to Products"))</f>
        <v/>
      </c>
      <c r="C149" s="11">
        <f>IF($A149="","",IFERROR(INDEX(Products!$C$2:$C$61,MATCH($A149,Products!$A$2:$A$61,0)),"Add to Products"))</f>
        <v/>
      </c>
      <c r="D149" s="11">
        <f>IF($A149="","",IFERROR(INDEX(Products!$D$2:$D$61,MATCH($A149,Products!$A$2:$A$61,0)),"Add to Products"))</f>
        <v/>
      </c>
      <c r="E149" s="11">
        <f>IF($A149="","",IFERROR(INDEX(Products!$E$2:$E$61,MATCH($A149,Products!$A$2:$A$61,0)),"Add to Products"))</f>
        <v/>
      </c>
      <c r="F149" s="11">
        <f>IF($A149="","",IFERROR(INDEX(Products!$F$2:$F$61,MATCH($A149,Products!$A$2:$A$61,0)),"Add to Products"))</f>
        <v/>
      </c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2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3" t="n"/>
      <c r="Y149" s="13" t="n"/>
      <c r="Z149" s="14" t="n"/>
      <c r="AA149" s="10" t="n"/>
      <c r="AB149" s="10" t="n"/>
      <c r="AC149" s="10" t="n"/>
      <c r="AD149" s="10" t="n"/>
      <c r="AE149" s="10" t="n"/>
      <c r="AF149" s="10" t="n"/>
      <c r="AG149" s="13" t="n"/>
    </row>
    <row r="150">
      <c r="A150" s="10" t="n"/>
      <c r="B150" s="11">
        <f>IF($A150="","",IFERROR(INDEX(Products!$B$2:$B$61,MATCH($A150,Products!$A$2:$A$61,0)),"Add to Products"))</f>
        <v/>
      </c>
      <c r="C150" s="11">
        <f>IF($A150="","",IFERROR(INDEX(Products!$C$2:$C$61,MATCH($A150,Products!$A$2:$A$61,0)),"Add to Products"))</f>
        <v/>
      </c>
      <c r="D150" s="11">
        <f>IF($A150="","",IFERROR(INDEX(Products!$D$2:$D$61,MATCH($A150,Products!$A$2:$A$61,0)),"Add to Products"))</f>
        <v/>
      </c>
      <c r="E150" s="11">
        <f>IF($A150="","",IFERROR(INDEX(Products!$E$2:$E$61,MATCH($A150,Products!$A$2:$A$61,0)),"Add to Products"))</f>
        <v/>
      </c>
      <c r="F150" s="11">
        <f>IF($A150="","",IFERROR(INDEX(Products!$F$2:$F$61,MATCH($A150,Products!$A$2:$A$61,0)),"Add to Products"))</f>
        <v/>
      </c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2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3" t="n"/>
      <c r="Y150" s="13" t="n"/>
      <c r="Z150" s="14" t="n"/>
      <c r="AA150" s="10" t="n"/>
      <c r="AB150" s="10" t="n"/>
      <c r="AC150" s="10" t="n"/>
      <c r="AD150" s="10" t="n"/>
      <c r="AE150" s="10" t="n"/>
      <c r="AF150" s="10" t="n"/>
      <c r="AG150" s="13" t="n"/>
    </row>
    <row r="151">
      <c r="A151" s="10" t="n"/>
      <c r="B151" s="11">
        <f>IF($A151="","",IFERROR(INDEX(Products!$B$2:$B$61,MATCH($A151,Products!$A$2:$A$61,0)),"Add to Products"))</f>
        <v/>
      </c>
      <c r="C151" s="11">
        <f>IF($A151="","",IFERROR(INDEX(Products!$C$2:$C$61,MATCH($A151,Products!$A$2:$A$61,0)),"Add to Products"))</f>
        <v/>
      </c>
      <c r="D151" s="11">
        <f>IF($A151="","",IFERROR(INDEX(Products!$D$2:$D$61,MATCH($A151,Products!$A$2:$A$61,0)),"Add to Products"))</f>
        <v/>
      </c>
      <c r="E151" s="11">
        <f>IF($A151="","",IFERROR(INDEX(Products!$E$2:$E$61,MATCH($A151,Products!$A$2:$A$61,0)),"Add to Products"))</f>
        <v/>
      </c>
      <c r="F151" s="11">
        <f>IF($A151="","",IFERROR(INDEX(Products!$F$2:$F$61,MATCH($A151,Products!$A$2:$A$61,0)),"Add to Products"))</f>
        <v/>
      </c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2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3" t="n"/>
      <c r="Y151" s="13" t="n"/>
      <c r="Z151" s="14" t="n"/>
      <c r="AA151" s="10" t="n"/>
      <c r="AB151" s="10" t="n"/>
      <c r="AC151" s="10" t="n"/>
      <c r="AD151" s="10" t="n"/>
      <c r="AE151" s="10" t="n"/>
      <c r="AF151" s="10" t="n"/>
      <c r="AG151" s="13" t="n"/>
    </row>
    <row r="152">
      <c r="A152" s="10" t="n"/>
      <c r="B152" s="11">
        <f>IF($A152="","",IFERROR(INDEX(Products!$B$2:$B$61,MATCH($A152,Products!$A$2:$A$61,0)),"Add to Products"))</f>
        <v/>
      </c>
      <c r="C152" s="11">
        <f>IF($A152="","",IFERROR(INDEX(Products!$C$2:$C$61,MATCH($A152,Products!$A$2:$A$61,0)),"Add to Products"))</f>
        <v/>
      </c>
      <c r="D152" s="11">
        <f>IF($A152="","",IFERROR(INDEX(Products!$D$2:$D$61,MATCH($A152,Products!$A$2:$A$61,0)),"Add to Products"))</f>
        <v/>
      </c>
      <c r="E152" s="11">
        <f>IF($A152="","",IFERROR(INDEX(Products!$E$2:$E$61,MATCH($A152,Products!$A$2:$A$61,0)),"Add to Products"))</f>
        <v/>
      </c>
      <c r="F152" s="11">
        <f>IF($A152="","",IFERROR(INDEX(Products!$F$2:$F$61,MATCH($A152,Products!$A$2:$A$61,0)),"Add to Products"))</f>
        <v/>
      </c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2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3" t="n"/>
      <c r="Y152" s="13" t="n"/>
      <c r="Z152" s="14" t="n"/>
      <c r="AA152" s="10" t="n"/>
      <c r="AB152" s="10" t="n"/>
      <c r="AC152" s="10" t="n"/>
      <c r="AD152" s="10" t="n"/>
      <c r="AE152" s="10" t="n"/>
      <c r="AF152" s="10" t="n"/>
      <c r="AG152" s="13" t="n"/>
    </row>
    <row r="153">
      <c r="A153" s="10" t="n"/>
      <c r="B153" s="11">
        <f>IF($A153="","",IFERROR(INDEX(Products!$B$2:$B$61,MATCH($A153,Products!$A$2:$A$61,0)),"Add to Products"))</f>
        <v/>
      </c>
      <c r="C153" s="11">
        <f>IF($A153="","",IFERROR(INDEX(Products!$C$2:$C$61,MATCH($A153,Products!$A$2:$A$61,0)),"Add to Products"))</f>
        <v/>
      </c>
      <c r="D153" s="11">
        <f>IF($A153="","",IFERROR(INDEX(Products!$D$2:$D$61,MATCH($A153,Products!$A$2:$A$61,0)),"Add to Products"))</f>
        <v/>
      </c>
      <c r="E153" s="11">
        <f>IF($A153="","",IFERROR(INDEX(Products!$E$2:$E$61,MATCH($A153,Products!$A$2:$A$61,0)),"Add to Products"))</f>
        <v/>
      </c>
      <c r="F153" s="11">
        <f>IF($A153="","",IFERROR(INDEX(Products!$F$2:$F$61,MATCH($A153,Products!$A$2:$A$61,0)),"Add to Products"))</f>
        <v/>
      </c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2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3" t="n"/>
      <c r="Y153" s="13" t="n"/>
      <c r="Z153" s="14" t="n"/>
      <c r="AA153" s="10" t="n"/>
      <c r="AB153" s="10" t="n"/>
      <c r="AC153" s="10" t="n"/>
      <c r="AD153" s="10" t="n"/>
      <c r="AE153" s="10" t="n"/>
      <c r="AF153" s="10" t="n"/>
      <c r="AG153" s="13" t="n"/>
    </row>
    <row r="154">
      <c r="A154" s="10" t="n"/>
      <c r="B154" s="11">
        <f>IF($A154="","",IFERROR(INDEX(Products!$B$2:$B$61,MATCH($A154,Products!$A$2:$A$61,0)),"Add to Products"))</f>
        <v/>
      </c>
      <c r="C154" s="11">
        <f>IF($A154="","",IFERROR(INDEX(Products!$C$2:$C$61,MATCH($A154,Products!$A$2:$A$61,0)),"Add to Products"))</f>
        <v/>
      </c>
      <c r="D154" s="11">
        <f>IF($A154="","",IFERROR(INDEX(Products!$D$2:$D$61,MATCH($A154,Products!$A$2:$A$61,0)),"Add to Products"))</f>
        <v/>
      </c>
      <c r="E154" s="11">
        <f>IF($A154="","",IFERROR(INDEX(Products!$E$2:$E$61,MATCH($A154,Products!$A$2:$A$61,0)),"Add to Products"))</f>
        <v/>
      </c>
      <c r="F154" s="11">
        <f>IF($A154="","",IFERROR(INDEX(Products!$F$2:$F$61,MATCH($A154,Products!$A$2:$A$61,0)),"Add to Products"))</f>
        <v/>
      </c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2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3" t="n"/>
      <c r="Y154" s="13" t="n"/>
      <c r="Z154" s="14" t="n"/>
      <c r="AA154" s="10" t="n"/>
      <c r="AB154" s="10" t="n"/>
      <c r="AC154" s="10" t="n"/>
      <c r="AD154" s="10" t="n"/>
      <c r="AE154" s="10" t="n"/>
      <c r="AF154" s="10" t="n"/>
      <c r="AG154" s="13" t="n"/>
    </row>
    <row r="155">
      <c r="A155" s="10" t="n"/>
      <c r="B155" s="11">
        <f>IF($A155="","",IFERROR(INDEX(Products!$B$2:$B$61,MATCH($A155,Products!$A$2:$A$61,0)),"Add to Products"))</f>
        <v/>
      </c>
      <c r="C155" s="11">
        <f>IF($A155="","",IFERROR(INDEX(Products!$C$2:$C$61,MATCH($A155,Products!$A$2:$A$61,0)),"Add to Products"))</f>
        <v/>
      </c>
      <c r="D155" s="11">
        <f>IF($A155="","",IFERROR(INDEX(Products!$D$2:$D$61,MATCH($A155,Products!$A$2:$A$61,0)),"Add to Products"))</f>
        <v/>
      </c>
      <c r="E155" s="11">
        <f>IF($A155="","",IFERROR(INDEX(Products!$E$2:$E$61,MATCH($A155,Products!$A$2:$A$61,0)),"Add to Products"))</f>
        <v/>
      </c>
      <c r="F155" s="11">
        <f>IF($A155="","",IFERROR(INDEX(Products!$F$2:$F$61,MATCH($A155,Products!$A$2:$A$61,0)),"Add to Products"))</f>
        <v/>
      </c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2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3" t="n"/>
      <c r="Y155" s="13" t="n"/>
      <c r="Z155" s="14" t="n"/>
      <c r="AA155" s="10" t="n"/>
      <c r="AB155" s="10" t="n"/>
      <c r="AC155" s="10" t="n"/>
      <c r="AD155" s="10" t="n"/>
      <c r="AE155" s="10" t="n"/>
      <c r="AF155" s="10" t="n"/>
      <c r="AG155" s="13" t="n"/>
    </row>
    <row r="156">
      <c r="A156" s="10" t="n"/>
      <c r="B156" s="11">
        <f>IF($A156="","",IFERROR(INDEX(Products!$B$2:$B$61,MATCH($A156,Products!$A$2:$A$61,0)),"Add to Products"))</f>
        <v/>
      </c>
      <c r="C156" s="11">
        <f>IF($A156="","",IFERROR(INDEX(Products!$C$2:$C$61,MATCH($A156,Products!$A$2:$A$61,0)),"Add to Products"))</f>
        <v/>
      </c>
      <c r="D156" s="11">
        <f>IF($A156="","",IFERROR(INDEX(Products!$D$2:$D$61,MATCH($A156,Products!$A$2:$A$61,0)),"Add to Products"))</f>
        <v/>
      </c>
      <c r="E156" s="11">
        <f>IF($A156="","",IFERROR(INDEX(Products!$E$2:$E$61,MATCH($A156,Products!$A$2:$A$61,0)),"Add to Products"))</f>
        <v/>
      </c>
      <c r="F156" s="11">
        <f>IF($A156="","",IFERROR(INDEX(Products!$F$2:$F$61,MATCH($A156,Products!$A$2:$A$61,0)),"Add to Products"))</f>
        <v/>
      </c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2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3" t="n"/>
      <c r="Y156" s="13" t="n"/>
      <c r="Z156" s="14" t="n"/>
      <c r="AA156" s="10" t="n"/>
      <c r="AB156" s="10" t="n"/>
      <c r="AC156" s="10" t="n"/>
      <c r="AD156" s="10" t="n"/>
      <c r="AE156" s="10" t="n"/>
      <c r="AF156" s="10" t="n"/>
      <c r="AG156" s="13" t="n"/>
    </row>
    <row r="157">
      <c r="A157" s="10" t="n"/>
      <c r="B157" s="11">
        <f>IF($A157="","",IFERROR(INDEX(Products!$B$2:$B$61,MATCH($A157,Products!$A$2:$A$61,0)),"Add to Products"))</f>
        <v/>
      </c>
      <c r="C157" s="11">
        <f>IF($A157="","",IFERROR(INDEX(Products!$C$2:$C$61,MATCH($A157,Products!$A$2:$A$61,0)),"Add to Products"))</f>
        <v/>
      </c>
      <c r="D157" s="11">
        <f>IF($A157="","",IFERROR(INDEX(Products!$D$2:$D$61,MATCH($A157,Products!$A$2:$A$61,0)),"Add to Products"))</f>
        <v/>
      </c>
      <c r="E157" s="11">
        <f>IF($A157="","",IFERROR(INDEX(Products!$E$2:$E$61,MATCH($A157,Products!$A$2:$A$61,0)),"Add to Products"))</f>
        <v/>
      </c>
      <c r="F157" s="11">
        <f>IF($A157="","",IFERROR(INDEX(Products!$F$2:$F$61,MATCH($A157,Products!$A$2:$A$61,0)),"Add to Products"))</f>
        <v/>
      </c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2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3" t="n"/>
      <c r="Y157" s="13" t="n"/>
      <c r="Z157" s="14" t="n"/>
      <c r="AA157" s="10" t="n"/>
      <c r="AB157" s="10" t="n"/>
      <c r="AC157" s="10" t="n"/>
      <c r="AD157" s="10" t="n"/>
      <c r="AE157" s="10" t="n"/>
      <c r="AF157" s="10" t="n"/>
      <c r="AG157" s="13" t="n"/>
    </row>
    <row r="158">
      <c r="A158" s="10" t="n"/>
      <c r="B158" s="11">
        <f>IF($A158="","",IFERROR(INDEX(Products!$B$2:$B$61,MATCH($A158,Products!$A$2:$A$61,0)),"Add to Products"))</f>
        <v/>
      </c>
      <c r="C158" s="11">
        <f>IF($A158="","",IFERROR(INDEX(Products!$C$2:$C$61,MATCH($A158,Products!$A$2:$A$61,0)),"Add to Products"))</f>
        <v/>
      </c>
      <c r="D158" s="11">
        <f>IF($A158="","",IFERROR(INDEX(Products!$D$2:$D$61,MATCH($A158,Products!$A$2:$A$61,0)),"Add to Products"))</f>
        <v/>
      </c>
      <c r="E158" s="11">
        <f>IF($A158="","",IFERROR(INDEX(Products!$E$2:$E$61,MATCH($A158,Products!$A$2:$A$61,0)),"Add to Products"))</f>
        <v/>
      </c>
      <c r="F158" s="11">
        <f>IF($A158="","",IFERROR(INDEX(Products!$F$2:$F$61,MATCH($A158,Products!$A$2:$A$61,0)),"Add to Products"))</f>
        <v/>
      </c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2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3" t="n"/>
      <c r="Y158" s="13" t="n"/>
      <c r="Z158" s="14" t="n"/>
      <c r="AA158" s="10" t="n"/>
      <c r="AB158" s="10" t="n"/>
      <c r="AC158" s="10" t="n"/>
      <c r="AD158" s="10" t="n"/>
      <c r="AE158" s="10" t="n"/>
      <c r="AF158" s="10" t="n"/>
      <c r="AG158" s="13" t="n"/>
    </row>
    <row r="159">
      <c r="A159" s="10" t="n"/>
      <c r="B159" s="11">
        <f>IF($A159="","",IFERROR(INDEX(Products!$B$2:$B$61,MATCH($A159,Products!$A$2:$A$61,0)),"Add to Products"))</f>
        <v/>
      </c>
      <c r="C159" s="11">
        <f>IF($A159="","",IFERROR(INDEX(Products!$C$2:$C$61,MATCH($A159,Products!$A$2:$A$61,0)),"Add to Products"))</f>
        <v/>
      </c>
      <c r="D159" s="11">
        <f>IF($A159="","",IFERROR(INDEX(Products!$D$2:$D$61,MATCH($A159,Products!$A$2:$A$61,0)),"Add to Products"))</f>
        <v/>
      </c>
      <c r="E159" s="11">
        <f>IF($A159="","",IFERROR(INDEX(Products!$E$2:$E$61,MATCH($A159,Products!$A$2:$A$61,0)),"Add to Products"))</f>
        <v/>
      </c>
      <c r="F159" s="11">
        <f>IF($A159="","",IFERROR(INDEX(Products!$F$2:$F$61,MATCH($A159,Products!$A$2:$A$61,0)),"Add to Products"))</f>
        <v/>
      </c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2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3" t="n"/>
      <c r="Y159" s="13" t="n"/>
      <c r="Z159" s="14" t="n"/>
      <c r="AA159" s="10" t="n"/>
      <c r="AB159" s="10" t="n"/>
      <c r="AC159" s="10" t="n"/>
      <c r="AD159" s="10" t="n"/>
      <c r="AE159" s="10" t="n"/>
      <c r="AF159" s="10" t="n"/>
      <c r="AG159" s="13" t="n"/>
    </row>
    <row r="160">
      <c r="A160" s="10" t="n"/>
      <c r="B160" s="11">
        <f>IF($A160="","",IFERROR(INDEX(Products!$B$2:$B$61,MATCH($A160,Products!$A$2:$A$61,0)),"Add to Products"))</f>
        <v/>
      </c>
      <c r="C160" s="11">
        <f>IF($A160="","",IFERROR(INDEX(Products!$C$2:$C$61,MATCH($A160,Products!$A$2:$A$61,0)),"Add to Products"))</f>
        <v/>
      </c>
      <c r="D160" s="11">
        <f>IF($A160="","",IFERROR(INDEX(Products!$D$2:$D$61,MATCH($A160,Products!$A$2:$A$61,0)),"Add to Products"))</f>
        <v/>
      </c>
      <c r="E160" s="11">
        <f>IF($A160="","",IFERROR(INDEX(Products!$E$2:$E$61,MATCH($A160,Products!$A$2:$A$61,0)),"Add to Products"))</f>
        <v/>
      </c>
      <c r="F160" s="11">
        <f>IF($A160="","",IFERROR(INDEX(Products!$F$2:$F$61,MATCH($A160,Products!$A$2:$A$61,0)),"Add to Products"))</f>
        <v/>
      </c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2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3" t="n"/>
      <c r="Y160" s="13" t="n"/>
      <c r="Z160" s="14" t="n"/>
      <c r="AA160" s="10" t="n"/>
      <c r="AB160" s="10" t="n"/>
      <c r="AC160" s="10" t="n"/>
      <c r="AD160" s="10" t="n"/>
      <c r="AE160" s="10" t="n"/>
      <c r="AF160" s="10" t="n"/>
      <c r="AG160" s="13" t="n"/>
    </row>
    <row r="161">
      <c r="A161" s="10" t="n"/>
      <c r="B161" s="11">
        <f>IF($A161="","",IFERROR(INDEX(Products!$B$2:$B$61,MATCH($A161,Products!$A$2:$A$61,0)),"Add to Products"))</f>
        <v/>
      </c>
      <c r="C161" s="11">
        <f>IF($A161="","",IFERROR(INDEX(Products!$C$2:$C$61,MATCH($A161,Products!$A$2:$A$61,0)),"Add to Products"))</f>
        <v/>
      </c>
      <c r="D161" s="11">
        <f>IF($A161="","",IFERROR(INDEX(Products!$D$2:$D$61,MATCH($A161,Products!$A$2:$A$61,0)),"Add to Products"))</f>
        <v/>
      </c>
      <c r="E161" s="11">
        <f>IF($A161="","",IFERROR(INDEX(Products!$E$2:$E$61,MATCH($A161,Products!$A$2:$A$61,0)),"Add to Products"))</f>
        <v/>
      </c>
      <c r="F161" s="11">
        <f>IF($A161="","",IFERROR(INDEX(Products!$F$2:$F$61,MATCH($A161,Products!$A$2:$A$61,0)),"Add to Products"))</f>
        <v/>
      </c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2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3" t="n"/>
      <c r="Y161" s="13" t="n"/>
      <c r="Z161" s="14" t="n"/>
      <c r="AA161" s="10" t="n"/>
      <c r="AB161" s="10" t="n"/>
      <c r="AC161" s="10" t="n"/>
      <c r="AD161" s="10" t="n"/>
      <c r="AE161" s="10" t="n"/>
      <c r="AF161" s="10" t="n"/>
      <c r="AG161" s="13" t="n"/>
    </row>
    <row r="162">
      <c r="A162" s="10" t="n"/>
      <c r="B162" s="11">
        <f>IF($A162="","",IFERROR(INDEX(Products!$B$2:$B$61,MATCH($A162,Products!$A$2:$A$61,0)),"Add to Products"))</f>
        <v/>
      </c>
      <c r="C162" s="11">
        <f>IF($A162="","",IFERROR(INDEX(Products!$C$2:$C$61,MATCH($A162,Products!$A$2:$A$61,0)),"Add to Products"))</f>
        <v/>
      </c>
      <c r="D162" s="11">
        <f>IF($A162="","",IFERROR(INDEX(Products!$D$2:$D$61,MATCH($A162,Products!$A$2:$A$61,0)),"Add to Products"))</f>
        <v/>
      </c>
      <c r="E162" s="11">
        <f>IF($A162="","",IFERROR(INDEX(Products!$E$2:$E$61,MATCH($A162,Products!$A$2:$A$61,0)),"Add to Products"))</f>
        <v/>
      </c>
      <c r="F162" s="11">
        <f>IF($A162="","",IFERROR(INDEX(Products!$F$2:$F$61,MATCH($A162,Products!$A$2:$A$61,0)),"Add to Products"))</f>
        <v/>
      </c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2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3" t="n"/>
      <c r="Y162" s="13" t="n"/>
      <c r="Z162" s="14" t="n"/>
      <c r="AA162" s="10" t="n"/>
      <c r="AB162" s="10" t="n"/>
      <c r="AC162" s="10" t="n"/>
      <c r="AD162" s="10" t="n"/>
      <c r="AE162" s="10" t="n"/>
      <c r="AF162" s="10" t="n"/>
      <c r="AG162" s="13" t="n"/>
    </row>
    <row r="163">
      <c r="A163" s="10" t="n"/>
      <c r="B163" s="11">
        <f>IF($A163="","",IFERROR(INDEX(Products!$B$2:$B$61,MATCH($A163,Products!$A$2:$A$61,0)),"Add to Products"))</f>
        <v/>
      </c>
      <c r="C163" s="11">
        <f>IF($A163="","",IFERROR(INDEX(Products!$C$2:$C$61,MATCH($A163,Products!$A$2:$A$61,0)),"Add to Products"))</f>
        <v/>
      </c>
      <c r="D163" s="11">
        <f>IF($A163="","",IFERROR(INDEX(Products!$D$2:$D$61,MATCH($A163,Products!$A$2:$A$61,0)),"Add to Products"))</f>
        <v/>
      </c>
      <c r="E163" s="11">
        <f>IF($A163="","",IFERROR(INDEX(Products!$E$2:$E$61,MATCH($A163,Products!$A$2:$A$61,0)),"Add to Products"))</f>
        <v/>
      </c>
      <c r="F163" s="11">
        <f>IF($A163="","",IFERROR(INDEX(Products!$F$2:$F$61,MATCH($A163,Products!$A$2:$A$61,0)),"Add to Products"))</f>
        <v/>
      </c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2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3" t="n"/>
      <c r="Y163" s="13" t="n"/>
      <c r="Z163" s="14" t="n"/>
      <c r="AA163" s="10" t="n"/>
      <c r="AB163" s="10" t="n"/>
      <c r="AC163" s="10" t="n"/>
      <c r="AD163" s="10" t="n"/>
      <c r="AE163" s="10" t="n"/>
      <c r="AF163" s="10" t="n"/>
      <c r="AG163" s="13" t="n"/>
    </row>
    <row r="164">
      <c r="A164" s="10" t="n"/>
      <c r="B164" s="11">
        <f>IF($A164="","",IFERROR(INDEX(Products!$B$2:$B$61,MATCH($A164,Products!$A$2:$A$61,0)),"Add to Products"))</f>
        <v/>
      </c>
      <c r="C164" s="11">
        <f>IF($A164="","",IFERROR(INDEX(Products!$C$2:$C$61,MATCH($A164,Products!$A$2:$A$61,0)),"Add to Products"))</f>
        <v/>
      </c>
      <c r="D164" s="11">
        <f>IF($A164="","",IFERROR(INDEX(Products!$D$2:$D$61,MATCH($A164,Products!$A$2:$A$61,0)),"Add to Products"))</f>
        <v/>
      </c>
      <c r="E164" s="11">
        <f>IF($A164="","",IFERROR(INDEX(Products!$E$2:$E$61,MATCH($A164,Products!$A$2:$A$61,0)),"Add to Products"))</f>
        <v/>
      </c>
      <c r="F164" s="11">
        <f>IF($A164="","",IFERROR(INDEX(Products!$F$2:$F$61,MATCH($A164,Products!$A$2:$A$61,0)),"Add to Products"))</f>
        <v/>
      </c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2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3" t="n"/>
      <c r="Y164" s="13" t="n"/>
      <c r="Z164" s="14" t="n"/>
      <c r="AA164" s="10" t="n"/>
      <c r="AB164" s="10" t="n"/>
      <c r="AC164" s="10" t="n"/>
      <c r="AD164" s="10" t="n"/>
      <c r="AE164" s="10" t="n"/>
      <c r="AF164" s="10" t="n"/>
      <c r="AG164" s="13" t="n"/>
    </row>
    <row r="165">
      <c r="A165" s="10" t="n"/>
      <c r="B165" s="11">
        <f>IF($A165="","",IFERROR(INDEX(Products!$B$2:$B$61,MATCH($A165,Products!$A$2:$A$61,0)),"Add to Products"))</f>
        <v/>
      </c>
      <c r="C165" s="11">
        <f>IF($A165="","",IFERROR(INDEX(Products!$C$2:$C$61,MATCH($A165,Products!$A$2:$A$61,0)),"Add to Products"))</f>
        <v/>
      </c>
      <c r="D165" s="11">
        <f>IF($A165="","",IFERROR(INDEX(Products!$D$2:$D$61,MATCH($A165,Products!$A$2:$A$61,0)),"Add to Products"))</f>
        <v/>
      </c>
      <c r="E165" s="11">
        <f>IF($A165="","",IFERROR(INDEX(Products!$E$2:$E$61,MATCH($A165,Products!$A$2:$A$61,0)),"Add to Products"))</f>
        <v/>
      </c>
      <c r="F165" s="11">
        <f>IF($A165="","",IFERROR(INDEX(Products!$F$2:$F$61,MATCH($A165,Products!$A$2:$A$61,0)),"Add to Products"))</f>
        <v/>
      </c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2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3" t="n"/>
      <c r="Y165" s="13" t="n"/>
      <c r="Z165" s="14" t="n"/>
      <c r="AA165" s="10" t="n"/>
      <c r="AB165" s="10" t="n"/>
      <c r="AC165" s="10" t="n"/>
      <c r="AD165" s="10" t="n"/>
      <c r="AE165" s="10" t="n"/>
      <c r="AF165" s="10" t="n"/>
      <c r="AG165" s="13" t="n"/>
    </row>
    <row r="166">
      <c r="A166" s="10" t="n"/>
      <c r="B166" s="11">
        <f>IF($A166="","",IFERROR(INDEX(Products!$B$2:$B$61,MATCH($A166,Products!$A$2:$A$61,0)),"Add to Products"))</f>
        <v/>
      </c>
      <c r="C166" s="11">
        <f>IF($A166="","",IFERROR(INDEX(Products!$C$2:$C$61,MATCH($A166,Products!$A$2:$A$61,0)),"Add to Products"))</f>
        <v/>
      </c>
      <c r="D166" s="11">
        <f>IF($A166="","",IFERROR(INDEX(Products!$D$2:$D$61,MATCH($A166,Products!$A$2:$A$61,0)),"Add to Products"))</f>
        <v/>
      </c>
      <c r="E166" s="11">
        <f>IF($A166="","",IFERROR(INDEX(Products!$E$2:$E$61,MATCH($A166,Products!$A$2:$A$61,0)),"Add to Products"))</f>
        <v/>
      </c>
      <c r="F166" s="11">
        <f>IF($A166="","",IFERROR(INDEX(Products!$F$2:$F$61,MATCH($A166,Products!$A$2:$A$61,0)),"Add to Products"))</f>
        <v/>
      </c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2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3" t="n"/>
      <c r="Y166" s="13" t="n"/>
      <c r="Z166" s="14" t="n"/>
      <c r="AA166" s="10" t="n"/>
      <c r="AB166" s="10" t="n"/>
      <c r="AC166" s="10" t="n"/>
      <c r="AD166" s="10" t="n"/>
      <c r="AE166" s="10" t="n"/>
      <c r="AF166" s="10" t="n"/>
      <c r="AG166" s="13" t="n"/>
    </row>
    <row r="167">
      <c r="A167" s="10" t="n"/>
      <c r="B167" s="11">
        <f>IF($A167="","",IFERROR(INDEX(Products!$B$2:$B$61,MATCH($A167,Products!$A$2:$A$61,0)),"Add to Products"))</f>
        <v/>
      </c>
      <c r="C167" s="11">
        <f>IF($A167="","",IFERROR(INDEX(Products!$C$2:$C$61,MATCH($A167,Products!$A$2:$A$61,0)),"Add to Products"))</f>
        <v/>
      </c>
      <c r="D167" s="11">
        <f>IF($A167="","",IFERROR(INDEX(Products!$D$2:$D$61,MATCH($A167,Products!$A$2:$A$61,0)),"Add to Products"))</f>
        <v/>
      </c>
      <c r="E167" s="11">
        <f>IF($A167="","",IFERROR(INDEX(Products!$E$2:$E$61,MATCH($A167,Products!$A$2:$A$61,0)),"Add to Products"))</f>
        <v/>
      </c>
      <c r="F167" s="11">
        <f>IF($A167="","",IFERROR(INDEX(Products!$F$2:$F$61,MATCH($A167,Products!$A$2:$A$61,0)),"Add to Products"))</f>
        <v/>
      </c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2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3" t="n"/>
      <c r="Y167" s="13" t="n"/>
      <c r="Z167" s="14" t="n"/>
      <c r="AA167" s="10" t="n"/>
      <c r="AB167" s="10" t="n"/>
      <c r="AC167" s="10" t="n"/>
      <c r="AD167" s="10" t="n"/>
      <c r="AE167" s="10" t="n"/>
      <c r="AF167" s="10" t="n"/>
      <c r="AG167" s="13" t="n"/>
    </row>
    <row r="168">
      <c r="A168" s="10" t="n"/>
      <c r="B168" s="11">
        <f>IF($A168="","",IFERROR(INDEX(Products!$B$2:$B$61,MATCH($A168,Products!$A$2:$A$61,0)),"Add to Products"))</f>
        <v/>
      </c>
      <c r="C168" s="11">
        <f>IF($A168="","",IFERROR(INDEX(Products!$C$2:$C$61,MATCH($A168,Products!$A$2:$A$61,0)),"Add to Products"))</f>
        <v/>
      </c>
      <c r="D168" s="11">
        <f>IF($A168="","",IFERROR(INDEX(Products!$D$2:$D$61,MATCH($A168,Products!$A$2:$A$61,0)),"Add to Products"))</f>
        <v/>
      </c>
      <c r="E168" s="11">
        <f>IF($A168="","",IFERROR(INDEX(Products!$E$2:$E$61,MATCH($A168,Products!$A$2:$A$61,0)),"Add to Products"))</f>
        <v/>
      </c>
      <c r="F168" s="11">
        <f>IF($A168="","",IFERROR(INDEX(Products!$F$2:$F$61,MATCH($A168,Products!$A$2:$A$61,0)),"Add to Products"))</f>
        <v/>
      </c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2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3" t="n"/>
      <c r="Y168" s="13" t="n"/>
      <c r="Z168" s="14" t="n"/>
      <c r="AA168" s="10" t="n"/>
      <c r="AB168" s="10" t="n"/>
      <c r="AC168" s="10" t="n"/>
      <c r="AD168" s="10" t="n"/>
      <c r="AE168" s="10" t="n"/>
      <c r="AF168" s="10" t="n"/>
      <c r="AG168" s="13" t="n"/>
    </row>
    <row r="169">
      <c r="A169" s="10" t="n"/>
      <c r="B169" s="11">
        <f>IF($A169="","",IFERROR(INDEX(Products!$B$2:$B$61,MATCH($A169,Products!$A$2:$A$61,0)),"Add to Products"))</f>
        <v/>
      </c>
      <c r="C169" s="11">
        <f>IF($A169="","",IFERROR(INDEX(Products!$C$2:$C$61,MATCH($A169,Products!$A$2:$A$61,0)),"Add to Products"))</f>
        <v/>
      </c>
      <c r="D169" s="11">
        <f>IF($A169="","",IFERROR(INDEX(Products!$D$2:$D$61,MATCH($A169,Products!$A$2:$A$61,0)),"Add to Products"))</f>
        <v/>
      </c>
      <c r="E169" s="11">
        <f>IF($A169="","",IFERROR(INDEX(Products!$E$2:$E$61,MATCH($A169,Products!$A$2:$A$61,0)),"Add to Products"))</f>
        <v/>
      </c>
      <c r="F169" s="11">
        <f>IF($A169="","",IFERROR(INDEX(Products!$F$2:$F$61,MATCH($A169,Products!$A$2:$A$61,0)),"Add to Products"))</f>
        <v/>
      </c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2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3" t="n"/>
      <c r="Y169" s="13" t="n"/>
      <c r="Z169" s="14" t="n"/>
      <c r="AA169" s="10" t="n"/>
      <c r="AB169" s="10" t="n"/>
      <c r="AC169" s="10" t="n"/>
      <c r="AD169" s="10" t="n"/>
      <c r="AE169" s="10" t="n"/>
      <c r="AF169" s="10" t="n"/>
      <c r="AG169" s="13" t="n"/>
    </row>
    <row r="170">
      <c r="A170" s="10" t="n"/>
      <c r="B170" s="11">
        <f>IF($A170="","",IFERROR(INDEX(Products!$B$2:$B$61,MATCH($A170,Products!$A$2:$A$61,0)),"Add to Products"))</f>
        <v/>
      </c>
      <c r="C170" s="11">
        <f>IF($A170="","",IFERROR(INDEX(Products!$C$2:$C$61,MATCH($A170,Products!$A$2:$A$61,0)),"Add to Products"))</f>
        <v/>
      </c>
      <c r="D170" s="11">
        <f>IF($A170="","",IFERROR(INDEX(Products!$D$2:$D$61,MATCH($A170,Products!$A$2:$A$61,0)),"Add to Products"))</f>
        <v/>
      </c>
      <c r="E170" s="11">
        <f>IF($A170="","",IFERROR(INDEX(Products!$E$2:$E$61,MATCH($A170,Products!$A$2:$A$61,0)),"Add to Products"))</f>
        <v/>
      </c>
      <c r="F170" s="11">
        <f>IF($A170="","",IFERROR(INDEX(Products!$F$2:$F$61,MATCH($A170,Products!$A$2:$A$61,0)),"Add to Products"))</f>
        <v/>
      </c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2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3" t="n"/>
      <c r="Y170" s="13" t="n"/>
      <c r="Z170" s="14" t="n"/>
      <c r="AA170" s="10" t="n"/>
      <c r="AB170" s="10" t="n"/>
      <c r="AC170" s="10" t="n"/>
      <c r="AD170" s="10" t="n"/>
      <c r="AE170" s="10" t="n"/>
      <c r="AF170" s="10" t="n"/>
      <c r="AG170" s="13" t="n"/>
    </row>
    <row r="171">
      <c r="A171" s="10" t="n"/>
      <c r="B171" s="11">
        <f>IF($A171="","",IFERROR(INDEX(Products!$B$2:$B$61,MATCH($A171,Products!$A$2:$A$61,0)),"Add to Products"))</f>
        <v/>
      </c>
      <c r="C171" s="11">
        <f>IF($A171="","",IFERROR(INDEX(Products!$C$2:$C$61,MATCH($A171,Products!$A$2:$A$61,0)),"Add to Products"))</f>
        <v/>
      </c>
      <c r="D171" s="11">
        <f>IF($A171="","",IFERROR(INDEX(Products!$D$2:$D$61,MATCH($A171,Products!$A$2:$A$61,0)),"Add to Products"))</f>
        <v/>
      </c>
      <c r="E171" s="11">
        <f>IF($A171="","",IFERROR(INDEX(Products!$E$2:$E$61,MATCH($A171,Products!$A$2:$A$61,0)),"Add to Products"))</f>
        <v/>
      </c>
      <c r="F171" s="11">
        <f>IF($A171="","",IFERROR(INDEX(Products!$F$2:$F$61,MATCH($A171,Products!$A$2:$A$61,0)),"Add to Products"))</f>
        <v/>
      </c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2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3" t="n"/>
      <c r="Y171" s="13" t="n"/>
      <c r="Z171" s="14" t="n"/>
      <c r="AA171" s="10" t="n"/>
      <c r="AB171" s="10" t="n"/>
      <c r="AC171" s="10" t="n"/>
      <c r="AD171" s="10" t="n"/>
      <c r="AE171" s="10" t="n"/>
      <c r="AF171" s="10" t="n"/>
      <c r="AG171" s="13" t="n"/>
    </row>
    <row r="172">
      <c r="A172" s="10" t="n"/>
      <c r="B172" s="11">
        <f>IF($A172="","",IFERROR(INDEX(Products!$B$2:$B$61,MATCH($A172,Products!$A$2:$A$61,0)),"Add to Products"))</f>
        <v/>
      </c>
      <c r="C172" s="11">
        <f>IF($A172="","",IFERROR(INDEX(Products!$C$2:$C$61,MATCH($A172,Products!$A$2:$A$61,0)),"Add to Products"))</f>
        <v/>
      </c>
      <c r="D172" s="11">
        <f>IF($A172="","",IFERROR(INDEX(Products!$D$2:$D$61,MATCH($A172,Products!$A$2:$A$61,0)),"Add to Products"))</f>
        <v/>
      </c>
      <c r="E172" s="11">
        <f>IF($A172="","",IFERROR(INDEX(Products!$E$2:$E$61,MATCH($A172,Products!$A$2:$A$61,0)),"Add to Products"))</f>
        <v/>
      </c>
      <c r="F172" s="11">
        <f>IF($A172="","",IFERROR(INDEX(Products!$F$2:$F$61,MATCH($A172,Products!$A$2:$A$61,0)),"Add to Products"))</f>
        <v/>
      </c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2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3" t="n"/>
      <c r="Y172" s="13" t="n"/>
      <c r="Z172" s="14" t="n"/>
      <c r="AA172" s="10" t="n"/>
      <c r="AB172" s="10" t="n"/>
      <c r="AC172" s="10" t="n"/>
      <c r="AD172" s="10" t="n"/>
      <c r="AE172" s="10" t="n"/>
      <c r="AF172" s="10" t="n"/>
      <c r="AG172" s="13" t="n"/>
    </row>
    <row r="173">
      <c r="A173" s="10" t="n"/>
      <c r="B173" s="11">
        <f>IF($A173="","",IFERROR(INDEX(Products!$B$2:$B$61,MATCH($A173,Products!$A$2:$A$61,0)),"Add to Products"))</f>
        <v/>
      </c>
      <c r="C173" s="11">
        <f>IF($A173="","",IFERROR(INDEX(Products!$C$2:$C$61,MATCH($A173,Products!$A$2:$A$61,0)),"Add to Products"))</f>
        <v/>
      </c>
      <c r="D173" s="11">
        <f>IF($A173="","",IFERROR(INDEX(Products!$D$2:$D$61,MATCH($A173,Products!$A$2:$A$61,0)),"Add to Products"))</f>
        <v/>
      </c>
      <c r="E173" s="11">
        <f>IF($A173="","",IFERROR(INDEX(Products!$E$2:$E$61,MATCH($A173,Products!$A$2:$A$61,0)),"Add to Products"))</f>
        <v/>
      </c>
      <c r="F173" s="11">
        <f>IF($A173="","",IFERROR(INDEX(Products!$F$2:$F$61,MATCH($A173,Products!$A$2:$A$61,0)),"Add to Products"))</f>
        <v/>
      </c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2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3" t="n"/>
      <c r="Y173" s="13" t="n"/>
      <c r="Z173" s="14" t="n"/>
      <c r="AA173" s="10" t="n"/>
      <c r="AB173" s="10" t="n"/>
      <c r="AC173" s="10" t="n"/>
      <c r="AD173" s="10" t="n"/>
      <c r="AE173" s="10" t="n"/>
      <c r="AF173" s="10" t="n"/>
      <c r="AG173" s="13" t="n"/>
    </row>
    <row r="174">
      <c r="A174" s="10" t="n"/>
      <c r="B174" s="11">
        <f>IF($A174="","",IFERROR(INDEX(Products!$B$2:$B$61,MATCH($A174,Products!$A$2:$A$61,0)),"Add to Products"))</f>
        <v/>
      </c>
      <c r="C174" s="11">
        <f>IF($A174="","",IFERROR(INDEX(Products!$C$2:$C$61,MATCH($A174,Products!$A$2:$A$61,0)),"Add to Products"))</f>
        <v/>
      </c>
      <c r="D174" s="11">
        <f>IF($A174="","",IFERROR(INDEX(Products!$D$2:$D$61,MATCH($A174,Products!$A$2:$A$61,0)),"Add to Products"))</f>
        <v/>
      </c>
      <c r="E174" s="11">
        <f>IF($A174="","",IFERROR(INDEX(Products!$E$2:$E$61,MATCH($A174,Products!$A$2:$A$61,0)),"Add to Products"))</f>
        <v/>
      </c>
      <c r="F174" s="11">
        <f>IF($A174="","",IFERROR(INDEX(Products!$F$2:$F$61,MATCH($A174,Products!$A$2:$A$61,0)),"Add to Products"))</f>
        <v/>
      </c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2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3" t="n"/>
      <c r="Y174" s="13" t="n"/>
      <c r="Z174" s="14" t="n"/>
      <c r="AA174" s="10" t="n"/>
      <c r="AB174" s="10" t="n"/>
      <c r="AC174" s="10" t="n"/>
      <c r="AD174" s="10" t="n"/>
      <c r="AE174" s="10" t="n"/>
      <c r="AF174" s="10" t="n"/>
      <c r="AG174" s="13" t="n"/>
    </row>
    <row r="175">
      <c r="A175" s="10" t="n"/>
      <c r="B175" s="11">
        <f>IF($A175="","",IFERROR(INDEX(Products!$B$2:$B$61,MATCH($A175,Products!$A$2:$A$61,0)),"Add to Products"))</f>
        <v/>
      </c>
      <c r="C175" s="11">
        <f>IF($A175="","",IFERROR(INDEX(Products!$C$2:$C$61,MATCH($A175,Products!$A$2:$A$61,0)),"Add to Products"))</f>
        <v/>
      </c>
      <c r="D175" s="11">
        <f>IF($A175="","",IFERROR(INDEX(Products!$D$2:$D$61,MATCH($A175,Products!$A$2:$A$61,0)),"Add to Products"))</f>
        <v/>
      </c>
      <c r="E175" s="11">
        <f>IF($A175="","",IFERROR(INDEX(Products!$E$2:$E$61,MATCH($A175,Products!$A$2:$A$61,0)),"Add to Products"))</f>
        <v/>
      </c>
      <c r="F175" s="11">
        <f>IF($A175="","",IFERROR(INDEX(Products!$F$2:$F$61,MATCH($A175,Products!$A$2:$A$61,0)),"Add to Products"))</f>
        <v/>
      </c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2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3" t="n"/>
      <c r="Y175" s="13" t="n"/>
      <c r="Z175" s="14" t="n"/>
      <c r="AA175" s="10" t="n"/>
      <c r="AB175" s="10" t="n"/>
      <c r="AC175" s="10" t="n"/>
      <c r="AD175" s="10" t="n"/>
      <c r="AE175" s="10" t="n"/>
      <c r="AF175" s="10" t="n"/>
      <c r="AG175" s="13" t="n"/>
    </row>
    <row r="176">
      <c r="A176" s="10" t="n"/>
      <c r="B176" s="11">
        <f>IF($A176="","",IFERROR(INDEX(Products!$B$2:$B$61,MATCH($A176,Products!$A$2:$A$61,0)),"Add to Products"))</f>
        <v/>
      </c>
      <c r="C176" s="11">
        <f>IF($A176="","",IFERROR(INDEX(Products!$C$2:$C$61,MATCH($A176,Products!$A$2:$A$61,0)),"Add to Products"))</f>
        <v/>
      </c>
      <c r="D176" s="11">
        <f>IF($A176="","",IFERROR(INDEX(Products!$D$2:$D$61,MATCH($A176,Products!$A$2:$A$61,0)),"Add to Products"))</f>
        <v/>
      </c>
      <c r="E176" s="11">
        <f>IF($A176="","",IFERROR(INDEX(Products!$E$2:$E$61,MATCH($A176,Products!$A$2:$A$61,0)),"Add to Products"))</f>
        <v/>
      </c>
      <c r="F176" s="11">
        <f>IF($A176="","",IFERROR(INDEX(Products!$F$2:$F$61,MATCH($A176,Products!$A$2:$A$61,0)),"Add to Products"))</f>
        <v/>
      </c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2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3" t="n"/>
      <c r="Y176" s="13" t="n"/>
      <c r="Z176" s="14" t="n"/>
      <c r="AA176" s="10" t="n"/>
      <c r="AB176" s="10" t="n"/>
      <c r="AC176" s="10" t="n"/>
      <c r="AD176" s="10" t="n"/>
      <c r="AE176" s="10" t="n"/>
      <c r="AF176" s="10" t="n"/>
      <c r="AG176" s="13" t="n"/>
    </row>
    <row r="177">
      <c r="A177" s="10" t="n"/>
      <c r="B177" s="11">
        <f>IF($A177="","",IFERROR(INDEX(Products!$B$2:$B$61,MATCH($A177,Products!$A$2:$A$61,0)),"Add to Products"))</f>
        <v/>
      </c>
      <c r="C177" s="11">
        <f>IF($A177="","",IFERROR(INDEX(Products!$C$2:$C$61,MATCH($A177,Products!$A$2:$A$61,0)),"Add to Products"))</f>
        <v/>
      </c>
      <c r="D177" s="11">
        <f>IF($A177="","",IFERROR(INDEX(Products!$D$2:$D$61,MATCH($A177,Products!$A$2:$A$61,0)),"Add to Products"))</f>
        <v/>
      </c>
      <c r="E177" s="11">
        <f>IF($A177="","",IFERROR(INDEX(Products!$E$2:$E$61,MATCH($A177,Products!$A$2:$A$61,0)),"Add to Products"))</f>
        <v/>
      </c>
      <c r="F177" s="11">
        <f>IF($A177="","",IFERROR(INDEX(Products!$F$2:$F$61,MATCH($A177,Products!$A$2:$A$61,0)),"Add to Products"))</f>
        <v/>
      </c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2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3" t="n"/>
      <c r="Y177" s="13" t="n"/>
      <c r="Z177" s="14" t="n"/>
      <c r="AA177" s="10" t="n"/>
      <c r="AB177" s="10" t="n"/>
      <c r="AC177" s="10" t="n"/>
      <c r="AD177" s="10" t="n"/>
      <c r="AE177" s="10" t="n"/>
      <c r="AF177" s="10" t="n"/>
      <c r="AG177" s="13" t="n"/>
    </row>
    <row r="178">
      <c r="A178" s="10" t="n"/>
      <c r="B178" s="11">
        <f>IF($A178="","",IFERROR(INDEX(Products!$B$2:$B$61,MATCH($A178,Products!$A$2:$A$61,0)),"Add to Products"))</f>
        <v/>
      </c>
      <c r="C178" s="11">
        <f>IF($A178="","",IFERROR(INDEX(Products!$C$2:$C$61,MATCH($A178,Products!$A$2:$A$61,0)),"Add to Products"))</f>
        <v/>
      </c>
      <c r="D178" s="11">
        <f>IF($A178="","",IFERROR(INDEX(Products!$D$2:$D$61,MATCH($A178,Products!$A$2:$A$61,0)),"Add to Products"))</f>
        <v/>
      </c>
      <c r="E178" s="11">
        <f>IF($A178="","",IFERROR(INDEX(Products!$E$2:$E$61,MATCH($A178,Products!$A$2:$A$61,0)),"Add to Products"))</f>
        <v/>
      </c>
      <c r="F178" s="11">
        <f>IF($A178="","",IFERROR(INDEX(Products!$F$2:$F$61,MATCH($A178,Products!$A$2:$A$61,0)),"Add to Products"))</f>
        <v/>
      </c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2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3" t="n"/>
      <c r="Y178" s="13" t="n"/>
      <c r="Z178" s="14" t="n"/>
      <c r="AA178" s="10" t="n"/>
      <c r="AB178" s="10" t="n"/>
      <c r="AC178" s="10" t="n"/>
      <c r="AD178" s="10" t="n"/>
      <c r="AE178" s="10" t="n"/>
      <c r="AF178" s="10" t="n"/>
      <c r="AG178" s="13" t="n"/>
    </row>
    <row r="179">
      <c r="A179" s="10" t="n"/>
      <c r="B179" s="11">
        <f>IF($A179="","",IFERROR(INDEX(Products!$B$2:$B$61,MATCH($A179,Products!$A$2:$A$61,0)),"Add to Products"))</f>
        <v/>
      </c>
      <c r="C179" s="11">
        <f>IF($A179="","",IFERROR(INDEX(Products!$C$2:$C$61,MATCH($A179,Products!$A$2:$A$61,0)),"Add to Products"))</f>
        <v/>
      </c>
      <c r="D179" s="11">
        <f>IF($A179="","",IFERROR(INDEX(Products!$D$2:$D$61,MATCH($A179,Products!$A$2:$A$61,0)),"Add to Products"))</f>
        <v/>
      </c>
      <c r="E179" s="11">
        <f>IF($A179="","",IFERROR(INDEX(Products!$E$2:$E$61,MATCH($A179,Products!$A$2:$A$61,0)),"Add to Products"))</f>
        <v/>
      </c>
      <c r="F179" s="11">
        <f>IF($A179="","",IFERROR(INDEX(Products!$F$2:$F$61,MATCH($A179,Products!$A$2:$A$61,0)),"Add to Products"))</f>
        <v/>
      </c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2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3" t="n"/>
      <c r="Y179" s="13" t="n"/>
      <c r="Z179" s="14" t="n"/>
      <c r="AA179" s="10" t="n"/>
      <c r="AB179" s="10" t="n"/>
      <c r="AC179" s="10" t="n"/>
      <c r="AD179" s="10" t="n"/>
      <c r="AE179" s="10" t="n"/>
      <c r="AF179" s="10" t="n"/>
      <c r="AG179" s="13" t="n"/>
    </row>
    <row r="180">
      <c r="A180" s="10" t="n"/>
      <c r="B180" s="11">
        <f>IF($A180="","",IFERROR(INDEX(Products!$B$2:$B$61,MATCH($A180,Products!$A$2:$A$61,0)),"Add to Products"))</f>
        <v/>
      </c>
      <c r="C180" s="11">
        <f>IF($A180="","",IFERROR(INDEX(Products!$C$2:$C$61,MATCH($A180,Products!$A$2:$A$61,0)),"Add to Products"))</f>
        <v/>
      </c>
      <c r="D180" s="11">
        <f>IF($A180="","",IFERROR(INDEX(Products!$D$2:$D$61,MATCH($A180,Products!$A$2:$A$61,0)),"Add to Products"))</f>
        <v/>
      </c>
      <c r="E180" s="11">
        <f>IF($A180="","",IFERROR(INDEX(Products!$E$2:$E$61,MATCH($A180,Products!$A$2:$A$61,0)),"Add to Products"))</f>
        <v/>
      </c>
      <c r="F180" s="11">
        <f>IF($A180="","",IFERROR(INDEX(Products!$F$2:$F$61,MATCH($A180,Products!$A$2:$A$61,0)),"Add to Products"))</f>
        <v/>
      </c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2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3" t="n"/>
      <c r="Y180" s="13" t="n"/>
      <c r="Z180" s="14" t="n"/>
      <c r="AA180" s="10" t="n"/>
      <c r="AB180" s="10" t="n"/>
      <c r="AC180" s="10" t="n"/>
      <c r="AD180" s="10" t="n"/>
      <c r="AE180" s="10" t="n"/>
      <c r="AF180" s="10" t="n"/>
      <c r="AG180" s="13" t="n"/>
    </row>
    <row r="181">
      <c r="A181" s="10" t="n"/>
      <c r="B181" s="11">
        <f>IF($A181="","",IFERROR(INDEX(Products!$B$2:$B$61,MATCH($A181,Products!$A$2:$A$61,0)),"Add to Products"))</f>
        <v/>
      </c>
      <c r="C181" s="11">
        <f>IF($A181="","",IFERROR(INDEX(Products!$C$2:$C$61,MATCH($A181,Products!$A$2:$A$61,0)),"Add to Products"))</f>
        <v/>
      </c>
      <c r="D181" s="11">
        <f>IF($A181="","",IFERROR(INDEX(Products!$D$2:$D$61,MATCH($A181,Products!$A$2:$A$61,0)),"Add to Products"))</f>
        <v/>
      </c>
      <c r="E181" s="11">
        <f>IF($A181="","",IFERROR(INDEX(Products!$E$2:$E$61,MATCH($A181,Products!$A$2:$A$61,0)),"Add to Products"))</f>
        <v/>
      </c>
      <c r="F181" s="11">
        <f>IF($A181="","",IFERROR(INDEX(Products!$F$2:$F$61,MATCH($A181,Products!$A$2:$A$61,0)),"Add to Products"))</f>
        <v/>
      </c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2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3" t="n"/>
      <c r="Y181" s="13" t="n"/>
      <c r="Z181" s="14" t="n"/>
      <c r="AA181" s="10" t="n"/>
      <c r="AB181" s="10" t="n"/>
      <c r="AC181" s="10" t="n"/>
      <c r="AD181" s="10" t="n"/>
      <c r="AE181" s="10" t="n"/>
      <c r="AF181" s="10" t="n"/>
      <c r="AG181" s="13" t="n"/>
    </row>
    <row r="182">
      <c r="A182" s="10" t="n"/>
      <c r="B182" s="11">
        <f>IF($A182="","",IFERROR(INDEX(Products!$B$2:$B$61,MATCH($A182,Products!$A$2:$A$61,0)),"Add to Products"))</f>
        <v/>
      </c>
      <c r="C182" s="11">
        <f>IF($A182="","",IFERROR(INDEX(Products!$C$2:$C$61,MATCH($A182,Products!$A$2:$A$61,0)),"Add to Products"))</f>
        <v/>
      </c>
      <c r="D182" s="11">
        <f>IF($A182="","",IFERROR(INDEX(Products!$D$2:$D$61,MATCH($A182,Products!$A$2:$A$61,0)),"Add to Products"))</f>
        <v/>
      </c>
      <c r="E182" s="11">
        <f>IF($A182="","",IFERROR(INDEX(Products!$E$2:$E$61,MATCH($A182,Products!$A$2:$A$61,0)),"Add to Products"))</f>
        <v/>
      </c>
      <c r="F182" s="11">
        <f>IF($A182="","",IFERROR(INDEX(Products!$F$2:$F$61,MATCH($A182,Products!$A$2:$A$61,0)),"Add to Products"))</f>
        <v/>
      </c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2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3" t="n"/>
      <c r="Y182" s="13" t="n"/>
      <c r="Z182" s="14" t="n"/>
      <c r="AA182" s="10" t="n"/>
      <c r="AB182" s="10" t="n"/>
      <c r="AC182" s="10" t="n"/>
      <c r="AD182" s="10" t="n"/>
      <c r="AE182" s="10" t="n"/>
      <c r="AF182" s="10" t="n"/>
      <c r="AG182" s="13" t="n"/>
    </row>
    <row r="183">
      <c r="A183" s="10" t="n"/>
      <c r="B183" s="11">
        <f>IF($A183="","",IFERROR(INDEX(Products!$B$2:$B$61,MATCH($A183,Products!$A$2:$A$61,0)),"Add to Products"))</f>
        <v/>
      </c>
      <c r="C183" s="11">
        <f>IF($A183="","",IFERROR(INDEX(Products!$C$2:$C$61,MATCH($A183,Products!$A$2:$A$61,0)),"Add to Products"))</f>
        <v/>
      </c>
      <c r="D183" s="11">
        <f>IF($A183="","",IFERROR(INDEX(Products!$D$2:$D$61,MATCH($A183,Products!$A$2:$A$61,0)),"Add to Products"))</f>
        <v/>
      </c>
      <c r="E183" s="11">
        <f>IF($A183="","",IFERROR(INDEX(Products!$E$2:$E$61,MATCH($A183,Products!$A$2:$A$61,0)),"Add to Products"))</f>
        <v/>
      </c>
      <c r="F183" s="11">
        <f>IF($A183="","",IFERROR(INDEX(Products!$F$2:$F$61,MATCH($A183,Products!$A$2:$A$61,0)),"Add to Products"))</f>
        <v/>
      </c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2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3" t="n"/>
      <c r="Y183" s="13" t="n"/>
      <c r="Z183" s="14" t="n"/>
      <c r="AA183" s="10" t="n"/>
      <c r="AB183" s="10" t="n"/>
      <c r="AC183" s="10" t="n"/>
      <c r="AD183" s="10" t="n"/>
      <c r="AE183" s="10" t="n"/>
      <c r="AF183" s="10" t="n"/>
      <c r="AG183" s="13" t="n"/>
    </row>
    <row r="184">
      <c r="A184" s="10" t="n"/>
      <c r="B184" s="11">
        <f>IF($A184="","",IFERROR(INDEX(Products!$B$2:$B$61,MATCH($A184,Products!$A$2:$A$61,0)),"Add to Products"))</f>
        <v/>
      </c>
      <c r="C184" s="11">
        <f>IF($A184="","",IFERROR(INDEX(Products!$C$2:$C$61,MATCH($A184,Products!$A$2:$A$61,0)),"Add to Products"))</f>
        <v/>
      </c>
      <c r="D184" s="11">
        <f>IF($A184="","",IFERROR(INDEX(Products!$D$2:$D$61,MATCH($A184,Products!$A$2:$A$61,0)),"Add to Products"))</f>
        <v/>
      </c>
      <c r="E184" s="11">
        <f>IF($A184="","",IFERROR(INDEX(Products!$E$2:$E$61,MATCH($A184,Products!$A$2:$A$61,0)),"Add to Products"))</f>
        <v/>
      </c>
      <c r="F184" s="11">
        <f>IF($A184="","",IFERROR(INDEX(Products!$F$2:$F$61,MATCH($A184,Products!$A$2:$A$61,0)),"Add to Products"))</f>
        <v/>
      </c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2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3" t="n"/>
      <c r="Y184" s="13" t="n"/>
      <c r="Z184" s="14" t="n"/>
      <c r="AA184" s="10" t="n"/>
      <c r="AB184" s="10" t="n"/>
      <c r="AC184" s="10" t="n"/>
      <c r="AD184" s="10" t="n"/>
      <c r="AE184" s="10" t="n"/>
      <c r="AF184" s="10" t="n"/>
      <c r="AG184" s="13" t="n"/>
    </row>
    <row r="185">
      <c r="A185" s="10" t="n"/>
      <c r="B185" s="11">
        <f>IF($A185="","",IFERROR(INDEX(Products!$B$2:$B$61,MATCH($A185,Products!$A$2:$A$61,0)),"Add to Products"))</f>
        <v/>
      </c>
      <c r="C185" s="11">
        <f>IF($A185="","",IFERROR(INDEX(Products!$C$2:$C$61,MATCH($A185,Products!$A$2:$A$61,0)),"Add to Products"))</f>
        <v/>
      </c>
      <c r="D185" s="11">
        <f>IF($A185="","",IFERROR(INDEX(Products!$D$2:$D$61,MATCH($A185,Products!$A$2:$A$61,0)),"Add to Products"))</f>
        <v/>
      </c>
      <c r="E185" s="11">
        <f>IF($A185="","",IFERROR(INDEX(Products!$E$2:$E$61,MATCH($A185,Products!$A$2:$A$61,0)),"Add to Products"))</f>
        <v/>
      </c>
      <c r="F185" s="11">
        <f>IF($A185="","",IFERROR(INDEX(Products!$F$2:$F$61,MATCH($A185,Products!$A$2:$A$61,0)),"Add to Products"))</f>
        <v/>
      </c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2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3" t="n"/>
      <c r="Y185" s="13" t="n"/>
      <c r="Z185" s="14" t="n"/>
      <c r="AA185" s="10" t="n"/>
      <c r="AB185" s="10" t="n"/>
      <c r="AC185" s="10" t="n"/>
      <c r="AD185" s="10" t="n"/>
      <c r="AE185" s="10" t="n"/>
      <c r="AF185" s="10" t="n"/>
      <c r="AG185" s="13" t="n"/>
    </row>
    <row r="186">
      <c r="A186" s="10" t="n"/>
      <c r="B186" s="11">
        <f>IF($A186="","",IFERROR(INDEX(Products!$B$2:$B$61,MATCH($A186,Products!$A$2:$A$61,0)),"Add to Products"))</f>
        <v/>
      </c>
      <c r="C186" s="11">
        <f>IF($A186="","",IFERROR(INDEX(Products!$C$2:$C$61,MATCH($A186,Products!$A$2:$A$61,0)),"Add to Products"))</f>
        <v/>
      </c>
      <c r="D186" s="11">
        <f>IF($A186="","",IFERROR(INDEX(Products!$D$2:$D$61,MATCH($A186,Products!$A$2:$A$61,0)),"Add to Products"))</f>
        <v/>
      </c>
      <c r="E186" s="11">
        <f>IF($A186="","",IFERROR(INDEX(Products!$E$2:$E$61,MATCH($A186,Products!$A$2:$A$61,0)),"Add to Products"))</f>
        <v/>
      </c>
      <c r="F186" s="11">
        <f>IF($A186="","",IFERROR(INDEX(Products!$F$2:$F$61,MATCH($A186,Products!$A$2:$A$61,0)),"Add to Products"))</f>
        <v/>
      </c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2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3" t="n"/>
      <c r="Y186" s="13" t="n"/>
      <c r="Z186" s="14" t="n"/>
      <c r="AA186" s="10" t="n"/>
      <c r="AB186" s="10" t="n"/>
      <c r="AC186" s="10" t="n"/>
      <c r="AD186" s="10" t="n"/>
      <c r="AE186" s="10" t="n"/>
      <c r="AF186" s="10" t="n"/>
      <c r="AG186" s="13" t="n"/>
    </row>
    <row r="187">
      <c r="A187" s="10" t="n"/>
      <c r="B187" s="11">
        <f>IF($A187="","",IFERROR(INDEX(Products!$B$2:$B$61,MATCH($A187,Products!$A$2:$A$61,0)),"Add to Products"))</f>
        <v/>
      </c>
      <c r="C187" s="11">
        <f>IF($A187="","",IFERROR(INDEX(Products!$C$2:$C$61,MATCH($A187,Products!$A$2:$A$61,0)),"Add to Products"))</f>
        <v/>
      </c>
      <c r="D187" s="11">
        <f>IF($A187="","",IFERROR(INDEX(Products!$D$2:$D$61,MATCH($A187,Products!$A$2:$A$61,0)),"Add to Products"))</f>
        <v/>
      </c>
      <c r="E187" s="11">
        <f>IF($A187="","",IFERROR(INDEX(Products!$E$2:$E$61,MATCH($A187,Products!$A$2:$A$61,0)),"Add to Products"))</f>
        <v/>
      </c>
      <c r="F187" s="11">
        <f>IF($A187="","",IFERROR(INDEX(Products!$F$2:$F$61,MATCH($A187,Products!$A$2:$A$61,0)),"Add to Products"))</f>
        <v/>
      </c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2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3" t="n"/>
      <c r="Y187" s="13" t="n"/>
      <c r="Z187" s="14" t="n"/>
      <c r="AA187" s="10" t="n"/>
      <c r="AB187" s="10" t="n"/>
      <c r="AC187" s="10" t="n"/>
      <c r="AD187" s="10" t="n"/>
      <c r="AE187" s="10" t="n"/>
      <c r="AF187" s="10" t="n"/>
      <c r="AG187" s="13" t="n"/>
    </row>
    <row r="188">
      <c r="A188" s="10" t="n"/>
      <c r="B188" s="11">
        <f>IF($A188="","",IFERROR(INDEX(Products!$B$2:$B$61,MATCH($A188,Products!$A$2:$A$61,0)),"Add to Products"))</f>
        <v/>
      </c>
      <c r="C188" s="11">
        <f>IF($A188="","",IFERROR(INDEX(Products!$C$2:$C$61,MATCH($A188,Products!$A$2:$A$61,0)),"Add to Products"))</f>
        <v/>
      </c>
      <c r="D188" s="11">
        <f>IF($A188="","",IFERROR(INDEX(Products!$D$2:$D$61,MATCH($A188,Products!$A$2:$A$61,0)),"Add to Products"))</f>
        <v/>
      </c>
      <c r="E188" s="11">
        <f>IF($A188="","",IFERROR(INDEX(Products!$E$2:$E$61,MATCH($A188,Products!$A$2:$A$61,0)),"Add to Products"))</f>
        <v/>
      </c>
      <c r="F188" s="11">
        <f>IF($A188="","",IFERROR(INDEX(Products!$F$2:$F$61,MATCH($A188,Products!$A$2:$A$61,0)),"Add to Products"))</f>
        <v/>
      </c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2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3" t="n"/>
      <c r="Y188" s="13" t="n"/>
      <c r="Z188" s="14" t="n"/>
      <c r="AA188" s="10" t="n"/>
      <c r="AB188" s="10" t="n"/>
      <c r="AC188" s="10" t="n"/>
      <c r="AD188" s="10" t="n"/>
      <c r="AE188" s="10" t="n"/>
      <c r="AF188" s="10" t="n"/>
      <c r="AG188" s="13" t="n"/>
    </row>
    <row r="189">
      <c r="A189" s="10" t="n"/>
      <c r="B189" s="11">
        <f>IF($A189="","",IFERROR(INDEX(Products!$B$2:$B$61,MATCH($A189,Products!$A$2:$A$61,0)),"Add to Products"))</f>
        <v/>
      </c>
      <c r="C189" s="11">
        <f>IF($A189="","",IFERROR(INDEX(Products!$C$2:$C$61,MATCH($A189,Products!$A$2:$A$61,0)),"Add to Products"))</f>
        <v/>
      </c>
      <c r="D189" s="11">
        <f>IF($A189="","",IFERROR(INDEX(Products!$D$2:$D$61,MATCH($A189,Products!$A$2:$A$61,0)),"Add to Products"))</f>
        <v/>
      </c>
      <c r="E189" s="11">
        <f>IF($A189="","",IFERROR(INDEX(Products!$E$2:$E$61,MATCH($A189,Products!$A$2:$A$61,0)),"Add to Products"))</f>
        <v/>
      </c>
      <c r="F189" s="11">
        <f>IF($A189="","",IFERROR(INDEX(Products!$F$2:$F$61,MATCH($A189,Products!$A$2:$A$61,0)),"Add to Products"))</f>
        <v/>
      </c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2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3" t="n"/>
      <c r="Y189" s="13" t="n"/>
      <c r="Z189" s="14" t="n"/>
      <c r="AA189" s="10" t="n"/>
      <c r="AB189" s="10" t="n"/>
      <c r="AC189" s="10" t="n"/>
      <c r="AD189" s="10" t="n"/>
      <c r="AE189" s="10" t="n"/>
      <c r="AF189" s="10" t="n"/>
      <c r="AG189" s="13" t="n"/>
    </row>
    <row r="190">
      <c r="A190" s="10" t="n"/>
      <c r="B190" s="11">
        <f>IF($A190="","",IFERROR(INDEX(Products!$B$2:$B$61,MATCH($A190,Products!$A$2:$A$61,0)),"Add to Products"))</f>
        <v/>
      </c>
      <c r="C190" s="11">
        <f>IF($A190="","",IFERROR(INDEX(Products!$C$2:$C$61,MATCH($A190,Products!$A$2:$A$61,0)),"Add to Products"))</f>
        <v/>
      </c>
      <c r="D190" s="11">
        <f>IF($A190="","",IFERROR(INDEX(Products!$D$2:$D$61,MATCH($A190,Products!$A$2:$A$61,0)),"Add to Products"))</f>
        <v/>
      </c>
      <c r="E190" s="11">
        <f>IF($A190="","",IFERROR(INDEX(Products!$E$2:$E$61,MATCH($A190,Products!$A$2:$A$61,0)),"Add to Products"))</f>
        <v/>
      </c>
      <c r="F190" s="11">
        <f>IF($A190="","",IFERROR(INDEX(Products!$F$2:$F$61,MATCH($A190,Products!$A$2:$A$61,0)),"Add to Products"))</f>
        <v/>
      </c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2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3" t="n"/>
      <c r="Y190" s="13" t="n"/>
      <c r="Z190" s="14" t="n"/>
      <c r="AA190" s="10" t="n"/>
      <c r="AB190" s="10" t="n"/>
      <c r="AC190" s="10" t="n"/>
      <c r="AD190" s="10" t="n"/>
      <c r="AE190" s="10" t="n"/>
      <c r="AF190" s="10" t="n"/>
      <c r="AG190" s="13" t="n"/>
    </row>
    <row r="191">
      <c r="A191" s="10" t="n"/>
      <c r="B191" s="11">
        <f>IF($A191="","",IFERROR(INDEX(Products!$B$2:$B$61,MATCH($A191,Products!$A$2:$A$61,0)),"Add to Products"))</f>
        <v/>
      </c>
      <c r="C191" s="11">
        <f>IF($A191="","",IFERROR(INDEX(Products!$C$2:$C$61,MATCH($A191,Products!$A$2:$A$61,0)),"Add to Products"))</f>
        <v/>
      </c>
      <c r="D191" s="11">
        <f>IF($A191="","",IFERROR(INDEX(Products!$D$2:$D$61,MATCH($A191,Products!$A$2:$A$61,0)),"Add to Products"))</f>
        <v/>
      </c>
      <c r="E191" s="11">
        <f>IF($A191="","",IFERROR(INDEX(Products!$E$2:$E$61,MATCH($A191,Products!$A$2:$A$61,0)),"Add to Products"))</f>
        <v/>
      </c>
      <c r="F191" s="11">
        <f>IF($A191="","",IFERROR(INDEX(Products!$F$2:$F$61,MATCH($A191,Products!$A$2:$A$61,0)),"Add to Products"))</f>
        <v/>
      </c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2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3" t="n"/>
      <c r="Y191" s="13" t="n"/>
      <c r="Z191" s="14" t="n"/>
      <c r="AA191" s="10" t="n"/>
      <c r="AB191" s="10" t="n"/>
      <c r="AC191" s="10" t="n"/>
      <c r="AD191" s="10" t="n"/>
      <c r="AE191" s="10" t="n"/>
      <c r="AF191" s="10" t="n"/>
      <c r="AG191" s="13" t="n"/>
    </row>
    <row r="192">
      <c r="A192" s="10" t="n"/>
      <c r="B192" s="11">
        <f>IF($A192="","",IFERROR(INDEX(Products!$B$2:$B$61,MATCH($A192,Products!$A$2:$A$61,0)),"Add to Products"))</f>
        <v/>
      </c>
      <c r="C192" s="11">
        <f>IF($A192="","",IFERROR(INDEX(Products!$C$2:$C$61,MATCH($A192,Products!$A$2:$A$61,0)),"Add to Products"))</f>
        <v/>
      </c>
      <c r="D192" s="11">
        <f>IF($A192="","",IFERROR(INDEX(Products!$D$2:$D$61,MATCH($A192,Products!$A$2:$A$61,0)),"Add to Products"))</f>
        <v/>
      </c>
      <c r="E192" s="11">
        <f>IF($A192="","",IFERROR(INDEX(Products!$E$2:$E$61,MATCH($A192,Products!$A$2:$A$61,0)),"Add to Products"))</f>
        <v/>
      </c>
      <c r="F192" s="11">
        <f>IF($A192="","",IFERROR(INDEX(Products!$F$2:$F$61,MATCH($A192,Products!$A$2:$A$61,0)),"Add to Products"))</f>
        <v/>
      </c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2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3" t="n"/>
      <c r="Y192" s="13" t="n"/>
      <c r="Z192" s="14" t="n"/>
      <c r="AA192" s="10" t="n"/>
      <c r="AB192" s="10" t="n"/>
      <c r="AC192" s="10" t="n"/>
      <c r="AD192" s="10" t="n"/>
      <c r="AE192" s="10" t="n"/>
      <c r="AF192" s="10" t="n"/>
      <c r="AG192" s="13" t="n"/>
    </row>
    <row r="193">
      <c r="A193" s="10" t="n"/>
      <c r="B193" s="11">
        <f>IF($A193="","",IFERROR(INDEX(Products!$B$2:$B$61,MATCH($A193,Products!$A$2:$A$61,0)),"Add to Products"))</f>
        <v/>
      </c>
      <c r="C193" s="11">
        <f>IF($A193="","",IFERROR(INDEX(Products!$C$2:$C$61,MATCH($A193,Products!$A$2:$A$61,0)),"Add to Products"))</f>
        <v/>
      </c>
      <c r="D193" s="11">
        <f>IF($A193="","",IFERROR(INDEX(Products!$D$2:$D$61,MATCH($A193,Products!$A$2:$A$61,0)),"Add to Products"))</f>
        <v/>
      </c>
      <c r="E193" s="11">
        <f>IF($A193="","",IFERROR(INDEX(Products!$E$2:$E$61,MATCH($A193,Products!$A$2:$A$61,0)),"Add to Products"))</f>
        <v/>
      </c>
      <c r="F193" s="11">
        <f>IF($A193="","",IFERROR(INDEX(Products!$F$2:$F$61,MATCH($A193,Products!$A$2:$A$61,0)),"Add to Products"))</f>
        <v/>
      </c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2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3" t="n"/>
      <c r="Y193" s="13" t="n"/>
      <c r="Z193" s="14" t="n"/>
      <c r="AA193" s="10" t="n"/>
      <c r="AB193" s="10" t="n"/>
      <c r="AC193" s="10" t="n"/>
      <c r="AD193" s="10" t="n"/>
      <c r="AE193" s="10" t="n"/>
      <c r="AF193" s="10" t="n"/>
      <c r="AG193" s="13" t="n"/>
    </row>
    <row r="194">
      <c r="A194" s="10" t="n"/>
      <c r="B194" s="11">
        <f>IF($A194="","",IFERROR(INDEX(Products!$B$2:$B$61,MATCH($A194,Products!$A$2:$A$61,0)),"Add to Products"))</f>
        <v/>
      </c>
      <c r="C194" s="11">
        <f>IF($A194="","",IFERROR(INDEX(Products!$C$2:$C$61,MATCH($A194,Products!$A$2:$A$61,0)),"Add to Products"))</f>
        <v/>
      </c>
      <c r="D194" s="11">
        <f>IF($A194="","",IFERROR(INDEX(Products!$D$2:$D$61,MATCH($A194,Products!$A$2:$A$61,0)),"Add to Products"))</f>
        <v/>
      </c>
      <c r="E194" s="11">
        <f>IF($A194="","",IFERROR(INDEX(Products!$E$2:$E$61,MATCH($A194,Products!$A$2:$A$61,0)),"Add to Products"))</f>
        <v/>
      </c>
      <c r="F194" s="11">
        <f>IF($A194="","",IFERROR(INDEX(Products!$F$2:$F$61,MATCH($A194,Products!$A$2:$A$61,0)),"Add to Products"))</f>
        <v/>
      </c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2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3" t="n"/>
      <c r="Y194" s="13" t="n"/>
      <c r="Z194" s="14" t="n"/>
      <c r="AA194" s="10" t="n"/>
      <c r="AB194" s="10" t="n"/>
      <c r="AC194" s="10" t="n"/>
      <c r="AD194" s="10" t="n"/>
      <c r="AE194" s="10" t="n"/>
      <c r="AF194" s="10" t="n"/>
      <c r="AG194" s="13" t="n"/>
    </row>
    <row r="195">
      <c r="A195" s="10" t="n"/>
      <c r="B195" s="11">
        <f>IF($A195="","",IFERROR(INDEX(Products!$B$2:$B$61,MATCH($A195,Products!$A$2:$A$61,0)),"Add to Products"))</f>
        <v/>
      </c>
      <c r="C195" s="11">
        <f>IF($A195="","",IFERROR(INDEX(Products!$C$2:$C$61,MATCH($A195,Products!$A$2:$A$61,0)),"Add to Products"))</f>
        <v/>
      </c>
      <c r="D195" s="11">
        <f>IF($A195="","",IFERROR(INDEX(Products!$D$2:$D$61,MATCH($A195,Products!$A$2:$A$61,0)),"Add to Products"))</f>
        <v/>
      </c>
      <c r="E195" s="11">
        <f>IF($A195="","",IFERROR(INDEX(Products!$E$2:$E$61,MATCH($A195,Products!$A$2:$A$61,0)),"Add to Products"))</f>
        <v/>
      </c>
      <c r="F195" s="11">
        <f>IF($A195="","",IFERROR(INDEX(Products!$F$2:$F$61,MATCH($A195,Products!$A$2:$A$61,0)),"Add to Products"))</f>
        <v/>
      </c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2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3" t="n"/>
      <c r="Y195" s="13" t="n"/>
      <c r="Z195" s="14" t="n"/>
      <c r="AA195" s="10" t="n"/>
      <c r="AB195" s="10" t="n"/>
      <c r="AC195" s="10" t="n"/>
      <c r="AD195" s="10" t="n"/>
      <c r="AE195" s="10" t="n"/>
      <c r="AF195" s="10" t="n"/>
      <c r="AG195" s="13" t="n"/>
    </row>
    <row r="196">
      <c r="A196" s="10" t="n"/>
      <c r="B196" s="11">
        <f>IF($A196="","",IFERROR(INDEX(Products!$B$2:$B$61,MATCH($A196,Products!$A$2:$A$61,0)),"Add to Products"))</f>
        <v/>
      </c>
      <c r="C196" s="11">
        <f>IF($A196="","",IFERROR(INDEX(Products!$C$2:$C$61,MATCH($A196,Products!$A$2:$A$61,0)),"Add to Products"))</f>
        <v/>
      </c>
      <c r="D196" s="11">
        <f>IF($A196="","",IFERROR(INDEX(Products!$D$2:$D$61,MATCH($A196,Products!$A$2:$A$61,0)),"Add to Products"))</f>
        <v/>
      </c>
      <c r="E196" s="11">
        <f>IF($A196="","",IFERROR(INDEX(Products!$E$2:$E$61,MATCH($A196,Products!$A$2:$A$61,0)),"Add to Products"))</f>
        <v/>
      </c>
      <c r="F196" s="11">
        <f>IF($A196="","",IFERROR(INDEX(Products!$F$2:$F$61,MATCH($A196,Products!$A$2:$A$61,0)),"Add to Products"))</f>
        <v/>
      </c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2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3" t="n"/>
      <c r="Y196" s="13" t="n"/>
      <c r="Z196" s="14" t="n"/>
      <c r="AA196" s="10" t="n"/>
      <c r="AB196" s="10" t="n"/>
      <c r="AC196" s="10" t="n"/>
      <c r="AD196" s="10" t="n"/>
      <c r="AE196" s="10" t="n"/>
      <c r="AF196" s="10" t="n"/>
      <c r="AG196" s="13" t="n"/>
    </row>
    <row r="197">
      <c r="A197" s="10" t="n"/>
      <c r="B197" s="11">
        <f>IF($A197="","",IFERROR(INDEX(Products!$B$2:$B$61,MATCH($A197,Products!$A$2:$A$61,0)),"Add to Products"))</f>
        <v/>
      </c>
      <c r="C197" s="11">
        <f>IF($A197="","",IFERROR(INDEX(Products!$C$2:$C$61,MATCH($A197,Products!$A$2:$A$61,0)),"Add to Products"))</f>
        <v/>
      </c>
      <c r="D197" s="11">
        <f>IF($A197="","",IFERROR(INDEX(Products!$D$2:$D$61,MATCH($A197,Products!$A$2:$A$61,0)),"Add to Products"))</f>
        <v/>
      </c>
      <c r="E197" s="11">
        <f>IF($A197="","",IFERROR(INDEX(Products!$E$2:$E$61,MATCH($A197,Products!$A$2:$A$61,0)),"Add to Products"))</f>
        <v/>
      </c>
      <c r="F197" s="11">
        <f>IF($A197="","",IFERROR(INDEX(Products!$F$2:$F$61,MATCH($A197,Products!$A$2:$A$61,0)),"Add to Products"))</f>
        <v/>
      </c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2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3" t="n"/>
      <c r="Y197" s="13" t="n"/>
      <c r="Z197" s="14" t="n"/>
      <c r="AA197" s="10" t="n"/>
      <c r="AB197" s="10" t="n"/>
      <c r="AC197" s="10" t="n"/>
      <c r="AD197" s="10" t="n"/>
      <c r="AE197" s="10" t="n"/>
      <c r="AF197" s="10" t="n"/>
      <c r="AG197" s="13" t="n"/>
    </row>
    <row r="198">
      <c r="A198" s="10" t="n"/>
      <c r="B198" s="11">
        <f>IF($A198="","",IFERROR(INDEX(Products!$B$2:$B$61,MATCH($A198,Products!$A$2:$A$61,0)),"Add to Products"))</f>
        <v/>
      </c>
      <c r="C198" s="11">
        <f>IF($A198="","",IFERROR(INDEX(Products!$C$2:$C$61,MATCH($A198,Products!$A$2:$A$61,0)),"Add to Products"))</f>
        <v/>
      </c>
      <c r="D198" s="11">
        <f>IF($A198="","",IFERROR(INDEX(Products!$D$2:$D$61,MATCH($A198,Products!$A$2:$A$61,0)),"Add to Products"))</f>
        <v/>
      </c>
      <c r="E198" s="11">
        <f>IF($A198="","",IFERROR(INDEX(Products!$E$2:$E$61,MATCH($A198,Products!$A$2:$A$61,0)),"Add to Products"))</f>
        <v/>
      </c>
      <c r="F198" s="11">
        <f>IF($A198="","",IFERROR(INDEX(Products!$F$2:$F$61,MATCH($A198,Products!$A$2:$A$61,0)),"Add to Products"))</f>
        <v/>
      </c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2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3" t="n"/>
      <c r="Y198" s="13" t="n"/>
      <c r="Z198" s="14" t="n"/>
      <c r="AA198" s="10" t="n"/>
      <c r="AB198" s="10" t="n"/>
      <c r="AC198" s="10" t="n"/>
      <c r="AD198" s="10" t="n"/>
      <c r="AE198" s="10" t="n"/>
      <c r="AF198" s="10" t="n"/>
      <c r="AG198" s="13" t="n"/>
    </row>
    <row r="199">
      <c r="A199" s="10" t="n"/>
      <c r="B199" s="11">
        <f>IF($A199="","",IFERROR(INDEX(Products!$B$2:$B$61,MATCH($A199,Products!$A$2:$A$61,0)),"Add to Products"))</f>
        <v/>
      </c>
      <c r="C199" s="11">
        <f>IF($A199="","",IFERROR(INDEX(Products!$C$2:$C$61,MATCH($A199,Products!$A$2:$A$61,0)),"Add to Products"))</f>
        <v/>
      </c>
      <c r="D199" s="11">
        <f>IF($A199="","",IFERROR(INDEX(Products!$D$2:$D$61,MATCH($A199,Products!$A$2:$A$61,0)),"Add to Products"))</f>
        <v/>
      </c>
      <c r="E199" s="11">
        <f>IF($A199="","",IFERROR(INDEX(Products!$E$2:$E$61,MATCH($A199,Products!$A$2:$A$61,0)),"Add to Products"))</f>
        <v/>
      </c>
      <c r="F199" s="11">
        <f>IF($A199="","",IFERROR(INDEX(Products!$F$2:$F$61,MATCH($A199,Products!$A$2:$A$61,0)),"Add to Products"))</f>
        <v/>
      </c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2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3" t="n"/>
      <c r="Y199" s="13" t="n"/>
      <c r="Z199" s="14" t="n"/>
      <c r="AA199" s="10" t="n"/>
      <c r="AB199" s="10" t="n"/>
      <c r="AC199" s="10" t="n"/>
      <c r="AD199" s="10" t="n"/>
      <c r="AE199" s="10" t="n"/>
      <c r="AF199" s="10" t="n"/>
      <c r="AG199" s="13" t="n"/>
    </row>
    <row r="200">
      <c r="A200" s="10" t="n"/>
      <c r="B200" s="11">
        <f>IF($A200="","",IFERROR(INDEX(Products!$B$2:$B$61,MATCH($A200,Products!$A$2:$A$61,0)),"Add to Products"))</f>
        <v/>
      </c>
      <c r="C200" s="11">
        <f>IF($A200="","",IFERROR(INDEX(Products!$C$2:$C$61,MATCH($A200,Products!$A$2:$A$61,0)),"Add to Products"))</f>
        <v/>
      </c>
      <c r="D200" s="11">
        <f>IF($A200="","",IFERROR(INDEX(Products!$D$2:$D$61,MATCH($A200,Products!$A$2:$A$61,0)),"Add to Products"))</f>
        <v/>
      </c>
      <c r="E200" s="11">
        <f>IF($A200="","",IFERROR(INDEX(Products!$E$2:$E$61,MATCH($A200,Products!$A$2:$A$61,0)),"Add to Products"))</f>
        <v/>
      </c>
      <c r="F200" s="11">
        <f>IF($A200="","",IFERROR(INDEX(Products!$F$2:$F$61,MATCH($A200,Products!$A$2:$A$61,0)),"Add to Products"))</f>
        <v/>
      </c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2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3" t="n"/>
      <c r="Y200" s="13" t="n"/>
      <c r="Z200" s="14" t="n"/>
      <c r="AA200" s="10" t="n"/>
      <c r="AB200" s="10" t="n"/>
      <c r="AC200" s="10" t="n"/>
      <c r="AD200" s="10" t="n"/>
      <c r="AE200" s="10" t="n"/>
      <c r="AF200" s="10" t="n"/>
      <c r="AG200" s="13" t="n"/>
    </row>
    <row r="201">
      <c r="A201" s="10" t="n"/>
      <c r="B201" s="11">
        <f>IF($A201="","",IFERROR(INDEX(Products!$B$2:$B$61,MATCH($A201,Products!$A$2:$A$61,0)),"Add to Products"))</f>
        <v/>
      </c>
      <c r="C201" s="11">
        <f>IF($A201="","",IFERROR(INDEX(Products!$C$2:$C$61,MATCH($A201,Products!$A$2:$A$61,0)),"Add to Products"))</f>
        <v/>
      </c>
      <c r="D201" s="11">
        <f>IF($A201="","",IFERROR(INDEX(Products!$D$2:$D$61,MATCH($A201,Products!$A$2:$A$61,0)),"Add to Products"))</f>
        <v/>
      </c>
      <c r="E201" s="11">
        <f>IF($A201="","",IFERROR(INDEX(Products!$E$2:$E$61,MATCH($A201,Products!$A$2:$A$61,0)),"Add to Products"))</f>
        <v/>
      </c>
      <c r="F201" s="11">
        <f>IF($A201="","",IFERROR(INDEX(Products!$F$2:$F$61,MATCH($A201,Products!$A$2:$A$61,0)),"Add to Products"))</f>
        <v/>
      </c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2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3" t="n"/>
      <c r="Y201" s="13" t="n"/>
      <c r="Z201" s="14" t="n"/>
      <c r="AA201" s="10" t="n"/>
      <c r="AB201" s="10" t="n"/>
      <c r="AC201" s="10" t="n"/>
      <c r="AD201" s="10" t="n"/>
      <c r="AE201" s="10" t="n"/>
      <c r="AF201" s="10" t="n"/>
      <c r="AG201" s="13" t="n"/>
    </row>
    <row r="202">
      <c r="A202" s="10" t="n"/>
      <c r="B202" s="11">
        <f>IF($A202="","",IFERROR(INDEX(Products!$B$2:$B$61,MATCH($A202,Products!$A$2:$A$61,0)),"Add to Products"))</f>
        <v/>
      </c>
      <c r="C202" s="11">
        <f>IF($A202="","",IFERROR(INDEX(Products!$C$2:$C$61,MATCH($A202,Products!$A$2:$A$61,0)),"Add to Products"))</f>
        <v/>
      </c>
      <c r="D202" s="11">
        <f>IF($A202="","",IFERROR(INDEX(Products!$D$2:$D$61,MATCH($A202,Products!$A$2:$A$61,0)),"Add to Products"))</f>
        <v/>
      </c>
      <c r="E202" s="11">
        <f>IF($A202="","",IFERROR(INDEX(Products!$E$2:$E$61,MATCH($A202,Products!$A$2:$A$61,0)),"Add to Products"))</f>
        <v/>
      </c>
      <c r="F202" s="11">
        <f>IF($A202="","",IFERROR(INDEX(Products!$F$2:$F$61,MATCH($A202,Products!$A$2:$A$61,0)),"Add to Products"))</f>
        <v/>
      </c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2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3" t="n"/>
      <c r="Y202" s="13" t="n"/>
      <c r="Z202" s="14" t="n"/>
      <c r="AA202" s="10" t="n"/>
      <c r="AB202" s="10" t="n"/>
      <c r="AC202" s="10" t="n"/>
      <c r="AD202" s="10" t="n"/>
      <c r="AE202" s="10" t="n"/>
      <c r="AF202" s="10" t="n"/>
      <c r="AG202" s="13" t="n"/>
    </row>
    <row r="203">
      <c r="A203" s="10" t="n"/>
      <c r="B203" s="11">
        <f>IF($A203="","",IFERROR(INDEX(Products!$B$2:$B$61,MATCH($A203,Products!$A$2:$A$61,0)),"Add to Products"))</f>
        <v/>
      </c>
      <c r="C203" s="11">
        <f>IF($A203="","",IFERROR(INDEX(Products!$C$2:$C$61,MATCH($A203,Products!$A$2:$A$61,0)),"Add to Products"))</f>
        <v/>
      </c>
      <c r="D203" s="11">
        <f>IF($A203="","",IFERROR(INDEX(Products!$D$2:$D$61,MATCH($A203,Products!$A$2:$A$61,0)),"Add to Products"))</f>
        <v/>
      </c>
      <c r="E203" s="11">
        <f>IF($A203="","",IFERROR(INDEX(Products!$E$2:$E$61,MATCH($A203,Products!$A$2:$A$61,0)),"Add to Products"))</f>
        <v/>
      </c>
      <c r="F203" s="11">
        <f>IF($A203="","",IFERROR(INDEX(Products!$F$2:$F$61,MATCH($A203,Products!$A$2:$A$61,0)),"Add to Products"))</f>
        <v/>
      </c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2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3" t="n"/>
      <c r="Y203" s="13" t="n"/>
      <c r="Z203" s="14" t="n"/>
      <c r="AA203" s="10" t="n"/>
      <c r="AB203" s="10" t="n"/>
      <c r="AC203" s="10" t="n"/>
      <c r="AD203" s="10" t="n"/>
      <c r="AE203" s="10" t="n"/>
      <c r="AF203" s="10" t="n"/>
      <c r="AG203" s="13" t="n"/>
    </row>
    <row r="204">
      <c r="A204" s="10" t="n"/>
      <c r="B204" s="11">
        <f>IF($A204="","",IFERROR(INDEX(Products!$B$2:$B$61,MATCH($A204,Products!$A$2:$A$61,0)),"Add to Products"))</f>
        <v/>
      </c>
      <c r="C204" s="11">
        <f>IF($A204="","",IFERROR(INDEX(Products!$C$2:$C$61,MATCH($A204,Products!$A$2:$A$61,0)),"Add to Products"))</f>
        <v/>
      </c>
      <c r="D204" s="11">
        <f>IF($A204="","",IFERROR(INDEX(Products!$D$2:$D$61,MATCH($A204,Products!$A$2:$A$61,0)),"Add to Products"))</f>
        <v/>
      </c>
      <c r="E204" s="11">
        <f>IF($A204="","",IFERROR(INDEX(Products!$E$2:$E$61,MATCH($A204,Products!$A$2:$A$61,0)),"Add to Products"))</f>
        <v/>
      </c>
      <c r="F204" s="11">
        <f>IF($A204="","",IFERROR(INDEX(Products!$F$2:$F$61,MATCH($A204,Products!$A$2:$A$61,0)),"Add to Products"))</f>
        <v/>
      </c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2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3" t="n"/>
      <c r="Y204" s="13" t="n"/>
      <c r="Z204" s="14" t="n"/>
      <c r="AA204" s="10" t="n"/>
      <c r="AB204" s="10" t="n"/>
      <c r="AC204" s="10" t="n"/>
      <c r="AD204" s="10" t="n"/>
      <c r="AE204" s="10" t="n"/>
      <c r="AF204" s="10" t="n"/>
      <c r="AG204" s="13" t="n"/>
    </row>
    <row r="205">
      <c r="A205" s="10" t="n"/>
      <c r="B205" s="11">
        <f>IF($A205="","",IFERROR(INDEX(Products!$B$2:$B$61,MATCH($A205,Products!$A$2:$A$61,0)),"Add to Products"))</f>
        <v/>
      </c>
      <c r="C205" s="11">
        <f>IF($A205="","",IFERROR(INDEX(Products!$C$2:$C$61,MATCH($A205,Products!$A$2:$A$61,0)),"Add to Products"))</f>
        <v/>
      </c>
      <c r="D205" s="11">
        <f>IF($A205="","",IFERROR(INDEX(Products!$D$2:$D$61,MATCH($A205,Products!$A$2:$A$61,0)),"Add to Products"))</f>
        <v/>
      </c>
      <c r="E205" s="11">
        <f>IF($A205="","",IFERROR(INDEX(Products!$E$2:$E$61,MATCH($A205,Products!$A$2:$A$61,0)),"Add to Products"))</f>
        <v/>
      </c>
      <c r="F205" s="11">
        <f>IF($A205="","",IFERROR(INDEX(Products!$F$2:$F$61,MATCH($A205,Products!$A$2:$A$61,0)),"Add to Products"))</f>
        <v/>
      </c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2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3" t="n"/>
      <c r="Y205" s="13" t="n"/>
      <c r="Z205" s="14" t="n"/>
      <c r="AA205" s="10" t="n"/>
      <c r="AB205" s="10" t="n"/>
      <c r="AC205" s="10" t="n"/>
      <c r="AD205" s="10" t="n"/>
      <c r="AE205" s="10" t="n"/>
      <c r="AF205" s="10" t="n"/>
      <c r="AG205" s="13" t="n"/>
    </row>
    <row r="206">
      <c r="A206" s="10" t="n"/>
      <c r="B206" s="11">
        <f>IF($A206="","",IFERROR(INDEX(Products!$B$2:$B$61,MATCH($A206,Products!$A$2:$A$61,0)),"Add to Products"))</f>
        <v/>
      </c>
      <c r="C206" s="11">
        <f>IF($A206="","",IFERROR(INDEX(Products!$C$2:$C$61,MATCH($A206,Products!$A$2:$A$61,0)),"Add to Products"))</f>
        <v/>
      </c>
      <c r="D206" s="11">
        <f>IF($A206="","",IFERROR(INDEX(Products!$D$2:$D$61,MATCH($A206,Products!$A$2:$A$61,0)),"Add to Products"))</f>
        <v/>
      </c>
      <c r="E206" s="11">
        <f>IF($A206="","",IFERROR(INDEX(Products!$E$2:$E$61,MATCH($A206,Products!$A$2:$A$61,0)),"Add to Products"))</f>
        <v/>
      </c>
      <c r="F206" s="11">
        <f>IF($A206="","",IFERROR(INDEX(Products!$F$2:$F$61,MATCH($A206,Products!$A$2:$A$61,0)),"Add to Products"))</f>
        <v/>
      </c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2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3" t="n"/>
      <c r="Y206" s="13" t="n"/>
      <c r="Z206" s="14" t="n"/>
      <c r="AA206" s="10" t="n"/>
      <c r="AB206" s="10" t="n"/>
      <c r="AC206" s="10" t="n"/>
      <c r="AD206" s="10" t="n"/>
      <c r="AE206" s="10" t="n"/>
      <c r="AF206" s="10" t="n"/>
      <c r="AG206" s="13" t="n"/>
    </row>
    <row r="207">
      <c r="A207" s="10" t="n"/>
      <c r="B207" s="11">
        <f>IF($A207="","",IFERROR(INDEX(Products!$B$2:$B$61,MATCH($A207,Products!$A$2:$A$61,0)),"Add to Products"))</f>
        <v/>
      </c>
      <c r="C207" s="11">
        <f>IF($A207="","",IFERROR(INDEX(Products!$C$2:$C$61,MATCH($A207,Products!$A$2:$A$61,0)),"Add to Products"))</f>
        <v/>
      </c>
      <c r="D207" s="11">
        <f>IF($A207="","",IFERROR(INDEX(Products!$D$2:$D$61,MATCH($A207,Products!$A$2:$A$61,0)),"Add to Products"))</f>
        <v/>
      </c>
      <c r="E207" s="11">
        <f>IF($A207="","",IFERROR(INDEX(Products!$E$2:$E$61,MATCH($A207,Products!$A$2:$A$61,0)),"Add to Products"))</f>
        <v/>
      </c>
      <c r="F207" s="11">
        <f>IF($A207="","",IFERROR(INDEX(Products!$F$2:$F$61,MATCH($A207,Products!$A$2:$A$61,0)),"Add to Products"))</f>
        <v/>
      </c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2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3" t="n"/>
      <c r="Y207" s="13" t="n"/>
      <c r="Z207" s="14" t="n"/>
      <c r="AA207" s="10" t="n"/>
      <c r="AB207" s="10" t="n"/>
      <c r="AC207" s="10" t="n"/>
      <c r="AD207" s="10" t="n"/>
      <c r="AE207" s="10" t="n"/>
      <c r="AF207" s="10" t="n"/>
      <c r="AG207" s="13" t="n"/>
    </row>
    <row r="208">
      <c r="A208" s="10" t="n"/>
      <c r="B208" s="11">
        <f>IF($A208="","",IFERROR(INDEX(Products!$B$2:$B$61,MATCH($A208,Products!$A$2:$A$61,0)),"Add to Products"))</f>
        <v/>
      </c>
      <c r="C208" s="11">
        <f>IF($A208="","",IFERROR(INDEX(Products!$C$2:$C$61,MATCH($A208,Products!$A$2:$A$61,0)),"Add to Products"))</f>
        <v/>
      </c>
      <c r="D208" s="11">
        <f>IF($A208="","",IFERROR(INDEX(Products!$D$2:$D$61,MATCH($A208,Products!$A$2:$A$61,0)),"Add to Products"))</f>
        <v/>
      </c>
      <c r="E208" s="11">
        <f>IF($A208="","",IFERROR(INDEX(Products!$E$2:$E$61,MATCH($A208,Products!$A$2:$A$61,0)),"Add to Products"))</f>
        <v/>
      </c>
      <c r="F208" s="11">
        <f>IF($A208="","",IFERROR(INDEX(Products!$F$2:$F$61,MATCH($A208,Products!$A$2:$A$61,0)),"Add to Products"))</f>
        <v/>
      </c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2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3" t="n"/>
      <c r="Y208" s="13" t="n"/>
      <c r="Z208" s="14" t="n"/>
      <c r="AA208" s="10" t="n"/>
      <c r="AB208" s="10" t="n"/>
      <c r="AC208" s="10" t="n"/>
      <c r="AD208" s="10" t="n"/>
      <c r="AE208" s="10" t="n"/>
      <c r="AF208" s="10" t="n"/>
      <c r="AG208" s="13" t="n"/>
    </row>
    <row r="209">
      <c r="A209" s="10" t="n"/>
      <c r="B209" s="11">
        <f>IF($A209="","",IFERROR(INDEX(Products!$B$2:$B$61,MATCH($A209,Products!$A$2:$A$61,0)),"Add to Products"))</f>
        <v/>
      </c>
      <c r="C209" s="11">
        <f>IF($A209="","",IFERROR(INDEX(Products!$C$2:$C$61,MATCH($A209,Products!$A$2:$A$61,0)),"Add to Products"))</f>
        <v/>
      </c>
      <c r="D209" s="11">
        <f>IF($A209="","",IFERROR(INDEX(Products!$D$2:$D$61,MATCH($A209,Products!$A$2:$A$61,0)),"Add to Products"))</f>
        <v/>
      </c>
      <c r="E209" s="11">
        <f>IF($A209="","",IFERROR(INDEX(Products!$E$2:$E$61,MATCH($A209,Products!$A$2:$A$61,0)),"Add to Products"))</f>
        <v/>
      </c>
      <c r="F209" s="11">
        <f>IF($A209="","",IFERROR(INDEX(Products!$F$2:$F$61,MATCH($A209,Products!$A$2:$A$61,0)),"Add to Products"))</f>
        <v/>
      </c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2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3" t="n"/>
      <c r="Y209" s="13" t="n"/>
      <c r="Z209" s="14" t="n"/>
      <c r="AA209" s="10" t="n"/>
      <c r="AB209" s="10" t="n"/>
      <c r="AC209" s="10" t="n"/>
      <c r="AD209" s="10" t="n"/>
      <c r="AE209" s="10" t="n"/>
      <c r="AF209" s="10" t="n"/>
      <c r="AG209" s="13" t="n"/>
    </row>
    <row r="210">
      <c r="A210" s="10" t="n"/>
      <c r="B210" s="11">
        <f>IF($A210="","",IFERROR(INDEX(Products!$B$2:$B$61,MATCH($A210,Products!$A$2:$A$61,0)),"Add to Products"))</f>
        <v/>
      </c>
      <c r="C210" s="11">
        <f>IF($A210="","",IFERROR(INDEX(Products!$C$2:$C$61,MATCH($A210,Products!$A$2:$A$61,0)),"Add to Products"))</f>
        <v/>
      </c>
      <c r="D210" s="11">
        <f>IF($A210="","",IFERROR(INDEX(Products!$D$2:$D$61,MATCH($A210,Products!$A$2:$A$61,0)),"Add to Products"))</f>
        <v/>
      </c>
      <c r="E210" s="11">
        <f>IF($A210="","",IFERROR(INDEX(Products!$E$2:$E$61,MATCH($A210,Products!$A$2:$A$61,0)),"Add to Products"))</f>
        <v/>
      </c>
      <c r="F210" s="11">
        <f>IF($A210="","",IFERROR(INDEX(Products!$F$2:$F$61,MATCH($A210,Products!$A$2:$A$61,0)),"Add to Products"))</f>
        <v/>
      </c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2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3" t="n"/>
      <c r="Y210" s="13" t="n"/>
      <c r="Z210" s="14" t="n"/>
      <c r="AA210" s="10" t="n"/>
      <c r="AB210" s="10" t="n"/>
      <c r="AC210" s="10" t="n"/>
      <c r="AD210" s="10" t="n"/>
      <c r="AE210" s="10" t="n"/>
      <c r="AF210" s="10" t="n"/>
      <c r="AG210" s="13" t="n"/>
    </row>
    <row r="211">
      <c r="A211" s="10" t="n"/>
      <c r="B211" s="11">
        <f>IF($A211="","",IFERROR(INDEX(Products!$B$2:$B$61,MATCH($A211,Products!$A$2:$A$61,0)),"Add to Products"))</f>
        <v/>
      </c>
      <c r="C211" s="11">
        <f>IF($A211="","",IFERROR(INDEX(Products!$C$2:$C$61,MATCH($A211,Products!$A$2:$A$61,0)),"Add to Products"))</f>
        <v/>
      </c>
      <c r="D211" s="11">
        <f>IF($A211="","",IFERROR(INDEX(Products!$D$2:$D$61,MATCH($A211,Products!$A$2:$A$61,0)),"Add to Products"))</f>
        <v/>
      </c>
      <c r="E211" s="11">
        <f>IF($A211="","",IFERROR(INDEX(Products!$E$2:$E$61,MATCH($A211,Products!$A$2:$A$61,0)),"Add to Products"))</f>
        <v/>
      </c>
      <c r="F211" s="11">
        <f>IF($A211="","",IFERROR(INDEX(Products!$F$2:$F$61,MATCH($A211,Products!$A$2:$A$61,0)),"Add to Products"))</f>
        <v/>
      </c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2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3" t="n"/>
      <c r="Y211" s="13" t="n"/>
      <c r="Z211" s="14" t="n"/>
      <c r="AA211" s="10" t="n"/>
      <c r="AB211" s="10" t="n"/>
      <c r="AC211" s="10" t="n"/>
      <c r="AD211" s="10" t="n"/>
      <c r="AE211" s="10" t="n"/>
      <c r="AF211" s="10" t="n"/>
      <c r="AG211" s="13" t="n"/>
    </row>
    <row r="212">
      <c r="A212" s="10" t="n"/>
      <c r="B212" s="11">
        <f>IF($A212="","",IFERROR(INDEX(Products!$B$2:$B$61,MATCH($A212,Products!$A$2:$A$61,0)),"Add to Products"))</f>
        <v/>
      </c>
      <c r="C212" s="11">
        <f>IF($A212="","",IFERROR(INDEX(Products!$C$2:$C$61,MATCH($A212,Products!$A$2:$A$61,0)),"Add to Products"))</f>
        <v/>
      </c>
      <c r="D212" s="11">
        <f>IF($A212="","",IFERROR(INDEX(Products!$D$2:$D$61,MATCH($A212,Products!$A$2:$A$61,0)),"Add to Products"))</f>
        <v/>
      </c>
      <c r="E212" s="11">
        <f>IF($A212="","",IFERROR(INDEX(Products!$E$2:$E$61,MATCH($A212,Products!$A$2:$A$61,0)),"Add to Products"))</f>
        <v/>
      </c>
      <c r="F212" s="11">
        <f>IF($A212="","",IFERROR(INDEX(Products!$F$2:$F$61,MATCH($A212,Products!$A$2:$A$61,0)),"Add to Products"))</f>
        <v/>
      </c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2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3" t="n"/>
      <c r="Y212" s="13" t="n"/>
      <c r="Z212" s="14" t="n"/>
      <c r="AA212" s="10" t="n"/>
      <c r="AB212" s="10" t="n"/>
      <c r="AC212" s="10" t="n"/>
      <c r="AD212" s="10" t="n"/>
      <c r="AE212" s="10" t="n"/>
      <c r="AF212" s="10" t="n"/>
      <c r="AG212" s="13" t="n"/>
    </row>
    <row r="213">
      <c r="A213" s="10" t="n"/>
      <c r="B213" s="11">
        <f>IF($A213="","",IFERROR(INDEX(Products!$B$2:$B$61,MATCH($A213,Products!$A$2:$A$61,0)),"Add to Products"))</f>
        <v/>
      </c>
      <c r="C213" s="11">
        <f>IF($A213="","",IFERROR(INDEX(Products!$C$2:$C$61,MATCH($A213,Products!$A$2:$A$61,0)),"Add to Products"))</f>
        <v/>
      </c>
      <c r="D213" s="11">
        <f>IF($A213="","",IFERROR(INDEX(Products!$D$2:$D$61,MATCH($A213,Products!$A$2:$A$61,0)),"Add to Products"))</f>
        <v/>
      </c>
      <c r="E213" s="11">
        <f>IF($A213="","",IFERROR(INDEX(Products!$E$2:$E$61,MATCH($A213,Products!$A$2:$A$61,0)),"Add to Products"))</f>
        <v/>
      </c>
      <c r="F213" s="11">
        <f>IF($A213="","",IFERROR(INDEX(Products!$F$2:$F$61,MATCH($A213,Products!$A$2:$A$61,0)),"Add to Products"))</f>
        <v/>
      </c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2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3" t="n"/>
      <c r="Y213" s="13" t="n"/>
      <c r="Z213" s="14" t="n"/>
      <c r="AA213" s="10" t="n"/>
      <c r="AB213" s="10" t="n"/>
      <c r="AC213" s="10" t="n"/>
      <c r="AD213" s="10" t="n"/>
      <c r="AE213" s="10" t="n"/>
      <c r="AF213" s="10" t="n"/>
      <c r="AG213" s="13" t="n"/>
    </row>
    <row r="214">
      <c r="A214" s="10" t="n"/>
      <c r="B214" s="11">
        <f>IF($A214="","",IFERROR(INDEX(Products!$B$2:$B$61,MATCH($A214,Products!$A$2:$A$61,0)),"Add to Products"))</f>
        <v/>
      </c>
      <c r="C214" s="11">
        <f>IF($A214="","",IFERROR(INDEX(Products!$C$2:$C$61,MATCH($A214,Products!$A$2:$A$61,0)),"Add to Products"))</f>
        <v/>
      </c>
      <c r="D214" s="11">
        <f>IF($A214="","",IFERROR(INDEX(Products!$D$2:$D$61,MATCH($A214,Products!$A$2:$A$61,0)),"Add to Products"))</f>
        <v/>
      </c>
      <c r="E214" s="11">
        <f>IF($A214="","",IFERROR(INDEX(Products!$E$2:$E$61,MATCH($A214,Products!$A$2:$A$61,0)),"Add to Products"))</f>
        <v/>
      </c>
      <c r="F214" s="11">
        <f>IF($A214="","",IFERROR(INDEX(Products!$F$2:$F$61,MATCH($A214,Products!$A$2:$A$61,0)),"Add to Products"))</f>
        <v/>
      </c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2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3" t="n"/>
      <c r="Y214" s="13" t="n"/>
      <c r="Z214" s="14" t="n"/>
      <c r="AA214" s="10" t="n"/>
      <c r="AB214" s="10" t="n"/>
      <c r="AC214" s="10" t="n"/>
      <c r="AD214" s="10" t="n"/>
      <c r="AE214" s="10" t="n"/>
      <c r="AF214" s="10" t="n"/>
      <c r="AG214" s="13" t="n"/>
    </row>
    <row r="215">
      <c r="A215" s="10" t="n"/>
      <c r="B215" s="11">
        <f>IF($A215="","",IFERROR(INDEX(Products!$B$2:$B$61,MATCH($A215,Products!$A$2:$A$61,0)),"Add to Products"))</f>
        <v/>
      </c>
      <c r="C215" s="11">
        <f>IF($A215="","",IFERROR(INDEX(Products!$C$2:$C$61,MATCH($A215,Products!$A$2:$A$61,0)),"Add to Products"))</f>
        <v/>
      </c>
      <c r="D215" s="11">
        <f>IF($A215="","",IFERROR(INDEX(Products!$D$2:$D$61,MATCH($A215,Products!$A$2:$A$61,0)),"Add to Products"))</f>
        <v/>
      </c>
      <c r="E215" s="11">
        <f>IF($A215="","",IFERROR(INDEX(Products!$E$2:$E$61,MATCH($A215,Products!$A$2:$A$61,0)),"Add to Products"))</f>
        <v/>
      </c>
      <c r="F215" s="11">
        <f>IF($A215="","",IFERROR(INDEX(Products!$F$2:$F$61,MATCH($A215,Products!$A$2:$A$61,0)),"Add to Products"))</f>
        <v/>
      </c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2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3" t="n"/>
      <c r="Y215" s="13" t="n"/>
      <c r="Z215" s="14" t="n"/>
      <c r="AA215" s="10" t="n"/>
      <c r="AB215" s="10" t="n"/>
      <c r="AC215" s="10" t="n"/>
      <c r="AD215" s="10" t="n"/>
      <c r="AE215" s="10" t="n"/>
      <c r="AF215" s="10" t="n"/>
      <c r="AG215" s="13" t="n"/>
    </row>
    <row r="216">
      <c r="A216" s="10" t="n"/>
      <c r="B216" s="11">
        <f>IF($A216="","",IFERROR(INDEX(Products!$B$2:$B$61,MATCH($A216,Products!$A$2:$A$61,0)),"Add to Products"))</f>
        <v/>
      </c>
      <c r="C216" s="11">
        <f>IF($A216="","",IFERROR(INDEX(Products!$C$2:$C$61,MATCH($A216,Products!$A$2:$A$61,0)),"Add to Products"))</f>
        <v/>
      </c>
      <c r="D216" s="11">
        <f>IF($A216="","",IFERROR(INDEX(Products!$D$2:$D$61,MATCH($A216,Products!$A$2:$A$61,0)),"Add to Products"))</f>
        <v/>
      </c>
      <c r="E216" s="11">
        <f>IF($A216="","",IFERROR(INDEX(Products!$E$2:$E$61,MATCH($A216,Products!$A$2:$A$61,0)),"Add to Products"))</f>
        <v/>
      </c>
      <c r="F216" s="11">
        <f>IF($A216="","",IFERROR(INDEX(Products!$F$2:$F$61,MATCH($A216,Products!$A$2:$A$61,0)),"Add to Products"))</f>
        <v/>
      </c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2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3" t="n"/>
      <c r="Y216" s="13" t="n"/>
      <c r="Z216" s="14" t="n"/>
      <c r="AA216" s="10" t="n"/>
      <c r="AB216" s="10" t="n"/>
      <c r="AC216" s="10" t="n"/>
      <c r="AD216" s="10" t="n"/>
      <c r="AE216" s="10" t="n"/>
      <c r="AF216" s="10" t="n"/>
      <c r="AG216" s="13" t="n"/>
    </row>
    <row r="217">
      <c r="A217" s="10" t="n"/>
      <c r="B217" s="11">
        <f>IF($A217="","",IFERROR(INDEX(Products!$B$2:$B$61,MATCH($A217,Products!$A$2:$A$61,0)),"Add to Products"))</f>
        <v/>
      </c>
      <c r="C217" s="11">
        <f>IF($A217="","",IFERROR(INDEX(Products!$C$2:$C$61,MATCH($A217,Products!$A$2:$A$61,0)),"Add to Products"))</f>
        <v/>
      </c>
      <c r="D217" s="11">
        <f>IF($A217="","",IFERROR(INDEX(Products!$D$2:$D$61,MATCH($A217,Products!$A$2:$A$61,0)),"Add to Products"))</f>
        <v/>
      </c>
      <c r="E217" s="11">
        <f>IF($A217="","",IFERROR(INDEX(Products!$E$2:$E$61,MATCH($A217,Products!$A$2:$A$61,0)),"Add to Products"))</f>
        <v/>
      </c>
      <c r="F217" s="11">
        <f>IF($A217="","",IFERROR(INDEX(Products!$F$2:$F$61,MATCH($A217,Products!$A$2:$A$61,0)),"Add to Products"))</f>
        <v/>
      </c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2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3" t="n"/>
      <c r="Y217" s="13" t="n"/>
      <c r="Z217" s="14" t="n"/>
      <c r="AA217" s="10" t="n"/>
      <c r="AB217" s="10" t="n"/>
      <c r="AC217" s="10" t="n"/>
      <c r="AD217" s="10" t="n"/>
      <c r="AE217" s="10" t="n"/>
      <c r="AF217" s="10" t="n"/>
      <c r="AG217" s="13" t="n"/>
    </row>
    <row r="218">
      <c r="A218" s="10" t="n"/>
      <c r="B218" s="11">
        <f>IF($A218="","",IFERROR(INDEX(Products!$B$2:$B$61,MATCH($A218,Products!$A$2:$A$61,0)),"Add to Products"))</f>
        <v/>
      </c>
      <c r="C218" s="11">
        <f>IF($A218="","",IFERROR(INDEX(Products!$C$2:$C$61,MATCH($A218,Products!$A$2:$A$61,0)),"Add to Products"))</f>
        <v/>
      </c>
      <c r="D218" s="11">
        <f>IF($A218="","",IFERROR(INDEX(Products!$D$2:$D$61,MATCH($A218,Products!$A$2:$A$61,0)),"Add to Products"))</f>
        <v/>
      </c>
      <c r="E218" s="11">
        <f>IF($A218="","",IFERROR(INDEX(Products!$E$2:$E$61,MATCH($A218,Products!$A$2:$A$61,0)),"Add to Products"))</f>
        <v/>
      </c>
      <c r="F218" s="11">
        <f>IF($A218="","",IFERROR(INDEX(Products!$F$2:$F$61,MATCH($A218,Products!$A$2:$A$61,0)),"Add to Products"))</f>
        <v/>
      </c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2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3" t="n"/>
      <c r="Y218" s="13" t="n"/>
      <c r="Z218" s="14" t="n"/>
      <c r="AA218" s="10" t="n"/>
      <c r="AB218" s="10" t="n"/>
      <c r="AC218" s="10" t="n"/>
      <c r="AD218" s="10" t="n"/>
      <c r="AE218" s="10" t="n"/>
      <c r="AF218" s="10" t="n"/>
      <c r="AG218" s="13" t="n"/>
    </row>
    <row r="219">
      <c r="A219" s="10" t="n"/>
      <c r="B219" s="11">
        <f>IF($A219="","",IFERROR(INDEX(Products!$B$2:$B$61,MATCH($A219,Products!$A$2:$A$61,0)),"Add to Products"))</f>
        <v/>
      </c>
      <c r="C219" s="11">
        <f>IF($A219="","",IFERROR(INDEX(Products!$C$2:$C$61,MATCH($A219,Products!$A$2:$A$61,0)),"Add to Products"))</f>
        <v/>
      </c>
      <c r="D219" s="11">
        <f>IF($A219="","",IFERROR(INDEX(Products!$D$2:$D$61,MATCH($A219,Products!$A$2:$A$61,0)),"Add to Products"))</f>
        <v/>
      </c>
      <c r="E219" s="11">
        <f>IF($A219="","",IFERROR(INDEX(Products!$E$2:$E$61,MATCH($A219,Products!$A$2:$A$61,0)),"Add to Products"))</f>
        <v/>
      </c>
      <c r="F219" s="11">
        <f>IF($A219="","",IFERROR(INDEX(Products!$F$2:$F$61,MATCH($A219,Products!$A$2:$A$61,0)),"Add to Products"))</f>
        <v/>
      </c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2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3" t="n"/>
      <c r="Y219" s="13" t="n"/>
      <c r="Z219" s="14" t="n"/>
      <c r="AA219" s="10" t="n"/>
      <c r="AB219" s="10" t="n"/>
      <c r="AC219" s="10" t="n"/>
      <c r="AD219" s="10" t="n"/>
      <c r="AE219" s="10" t="n"/>
      <c r="AF219" s="10" t="n"/>
      <c r="AG219" s="13" t="n"/>
    </row>
    <row r="220">
      <c r="A220" s="10" t="n"/>
      <c r="B220" s="11">
        <f>IF($A220="","",IFERROR(INDEX(Products!$B$2:$B$61,MATCH($A220,Products!$A$2:$A$61,0)),"Add to Products"))</f>
        <v/>
      </c>
      <c r="C220" s="11">
        <f>IF($A220="","",IFERROR(INDEX(Products!$C$2:$C$61,MATCH($A220,Products!$A$2:$A$61,0)),"Add to Products"))</f>
        <v/>
      </c>
      <c r="D220" s="11">
        <f>IF($A220="","",IFERROR(INDEX(Products!$D$2:$D$61,MATCH($A220,Products!$A$2:$A$61,0)),"Add to Products"))</f>
        <v/>
      </c>
      <c r="E220" s="11">
        <f>IF($A220="","",IFERROR(INDEX(Products!$E$2:$E$61,MATCH($A220,Products!$A$2:$A$61,0)),"Add to Products"))</f>
        <v/>
      </c>
      <c r="F220" s="11">
        <f>IF($A220="","",IFERROR(INDEX(Products!$F$2:$F$61,MATCH($A220,Products!$A$2:$A$61,0)),"Add to Products"))</f>
        <v/>
      </c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2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3" t="n"/>
      <c r="Y220" s="13" t="n"/>
      <c r="Z220" s="14" t="n"/>
      <c r="AA220" s="10" t="n"/>
      <c r="AB220" s="10" t="n"/>
      <c r="AC220" s="10" t="n"/>
      <c r="AD220" s="10" t="n"/>
      <c r="AE220" s="10" t="n"/>
      <c r="AF220" s="10" t="n"/>
      <c r="AG220" s="13" t="n"/>
    </row>
    <row r="221">
      <c r="A221" s="10" t="n"/>
      <c r="B221" s="11">
        <f>IF($A221="","",IFERROR(INDEX(Products!$B$2:$B$61,MATCH($A221,Products!$A$2:$A$61,0)),"Add to Products"))</f>
        <v/>
      </c>
      <c r="C221" s="11">
        <f>IF($A221="","",IFERROR(INDEX(Products!$C$2:$C$61,MATCH($A221,Products!$A$2:$A$61,0)),"Add to Products"))</f>
        <v/>
      </c>
      <c r="D221" s="11">
        <f>IF($A221="","",IFERROR(INDEX(Products!$D$2:$D$61,MATCH($A221,Products!$A$2:$A$61,0)),"Add to Products"))</f>
        <v/>
      </c>
      <c r="E221" s="11">
        <f>IF($A221="","",IFERROR(INDEX(Products!$E$2:$E$61,MATCH($A221,Products!$A$2:$A$61,0)),"Add to Products"))</f>
        <v/>
      </c>
      <c r="F221" s="11">
        <f>IF($A221="","",IFERROR(INDEX(Products!$F$2:$F$61,MATCH($A221,Products!$A$2:$A$61,0)),"Add to Products"))</f>
        <v/>
      </c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2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3" t="n"/>
      <c r="Y221" s="13" t="n"/>
      <c r="Z221" s="14" t="n"/>
      <c r="AA221" s="10" t="n"/>
      <c r="AB221" s="10" t="n"/>
      <c r="AC221" s="10" t="n"/>
      <c r="AD221" s="10" t="n"/>
      <c r="AE221" s="10" t="n"/>
      <c r="AF221" s="10" t="n"/>
      <c r="AG221" s="13" t="n"/>
    </row>
    <row r="222">
      <c r="A222" s="10" t="n"/>
      <c r="B222" s="11">
        <f>IF($A222="","",IFERROR(INDEX(Products!$B$2:$B$61,MATCH($A222,Products!$A$2:$A$61,0)),"Add to Products"))</f>
        <v/>
      </c>
      <c r="C222" s="11">
        <f>IF($A222="","",IFERROR(INDEX(Products!$C$2:$C$61,MATCH($A222,Products!$A$2:$A$61,0)),"Add to Products"))</f>
        <v/>
      </c>
      <c r="D222" s="11">
        <f>IF($A222="","",IFERROR(INDEX(Products!$D$2:$D$61,MATCH($A222,Products!$A$2:$A$61,0)),"Add to Products"))</f>
        <v/>
      </c>
      <c r="E222" s="11">
        <f>IF($A222="","",IFERROR(INDEX(Products!$E$2:$E$61,MATCH($A222,Products!$A$2:$A$61,0)),"Add to Products"))</f>
        <v/>
      </c>
      <c r="F222" s="11">
        <f>IF($A222="","",IFERROR(INDEX(Products!$F$2:$F$61,MATCH($A222,Products!$A$2:$A$61,0)),"Add to Products"))</f>
        <v/>
      </c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2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3" t="n"/>
      <c r="Y222" s="13" t="n"/>
      <c r="Z222" s="14" t="n"/>
      <c r="AA222" s="10" t="n"/>
      <c r="AB222" s="10" t="n"/>
      <c r="AC222" s="10" t="n"/>
      <c r="AD222" s="10" t="n"/>
      <c r="AE222" s="10" t="n"/>
      <c r="AF222" s="10" t="n"/>
      <c r="AG222" s="13" t="n"/>
    </row>
    <row r="223">
      <c r="A223" s="10" t="n"/>
      <c r="B223" s="11">
        <f>IF($A223="","",IFERROR(INDEX(Products!$B$2:$B$61,MATCH($A223,Products!$A$2:$A$61,0)),"Add to Products"))</f>
        <v/>
      </c>
      <c r="C223" s="11">
        <f>IF($A223="","",IFERROR(INDEX(Products!$C$2:$C$61,MATCH($A223,Products!$A$2:$A$61,0)),"Add to Products"))</f>
        <v/>
      </c>
      <c r="D223" s="11">
        <f>IF($A223="","",IFERROR(INDEX(Products!$D$2:$D$61,MATCH($A223,Products!$A$2:$A$61,0)),"Add to Products"))</f>
        <v/>
      </c>
      <c r="E223" s="11">
        <f>IF($A223="","",IFERROR(INDEX(Products!$E$2:$E$61,MATCH($A223,Products!$A$2:$A$61,0)),"Add to Products"))</f>
        <v/>
      </c>
      <c r="F223" s="11">
        <f>IF($A223="","",IFERROR(INDEX(Products!$F$2:$F$61,MATCH($A223,Products!$A$2:$A$61,0)),"Add to Products"))</f>
        <v/>
      </c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2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3" t="n"/>
      <c r="Y223" s="13" t="n"/>
      <c r="Z223" s="14" t="n"/>
      <c r="AA223" s="10" t="n"/>
      <c r="AB223" s="10" t="n"/>
      <c r="AC223" s="10" t="n"/>
      <c r="AD223" s="10" t="n"/>
      <c r="AE223" s="10" t="n"/>
      <c r="AF223" s="10" t="n"/>
      <c r="AG223" s="13" t="n"/>
    </row>
    <row r="224">
      <c r="A224" s="10" t="n"/>
      <c r="B224" s="11">
        <f>IF($A224="","",IFERROR(INDEX(Products!$B$2:$B$61,MATCH($A224,Products!$A$2:$A$61,0)),"Add to Products"))</f>
        <v/>
      </c>
      <c r="C224" s="11">
        <f>IF($A224="","",IFERROR(INDEX(Products!$C$2:$C$61,MATCH($A224,Products!$A$2:$A$61,0)),"Add to Products"))</f>
        <v/>
      </c>
      <c r="D224" s="11">
        <f>IF($A224="","",IFERROR(INDEX(Products!$D$2:$D$61,MATCH($A224,Products!$A$2:$A$61,0)),"Add to Products"))</f>
        <v/>
      </c>
      <c r="E224" s="11">
        <f>IF($A224="","",IFERROR(INDEX(Products!$E$2:$E$61,MATCH($A224,Products!$A$2:$A$61,0)),"Add to Products"))</f>
        <v/>
      </c>
      <c r="F224" s="11">
        <f>IF($A224="","",IFERROR(INDEX(Products!$F$2:$F$61,MATCH($A224,Products!$A$2:$A$61,0)),"Add to Products"))</f>
        <v/>
      </c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2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3" t="n"/>
      <c r="Y224" s="13" t="n"/>
      <c r="Z224" s="14" t="n"/>
      <c r="AA224" s="10" t="n"/>
      <c r="AB224" s="10" t="n"/>
      <c r="AC224" s="10" t="n"/>
      <c r="AD224" s="10" t="n"/>
      <c r="AE224" s="10" t="n"/>
      <c r="AF224" s="10" t="n"/>
      <c r="AG224" s="13" t="n"/>
    </row>
    <row r="225">
      <c r="A225" s="10" t="n"/>
      <c r="B225" s="11">
        <f>IF($A225="","",IFERROR(INDEX(Products!$B$2:$B$61,MATCH($A225,Products!$A$2:$A$61,0)),"Add to Products"))</f>
        <v/>
      </c>
      <c r="C225" s="11">
        <f>IF($A225="","",IFERROR(INDEX(Products!$C$2:$C$61,MATCH($A225,Products!$A$2:$A$61,0)),"Add to Products"))</f>
        <v/>
      </c>
      <c r="D225" s="11">
        <f>IF($A225="","",IFERROR(INDEX(Products!$D$2:$D$61,MATCH($A225,Products!$A$2:$A$61,0)),"Add to Products"))</f>
        <v/>
      </c>
      <c r="E225" s="11">
        <f>IF($A225="","",IFERROR(INDEX(Products!$E$2:$E$61,MATCH($A225,Products!$A$2:$A$61,0)),"Add to Products"))</f>
        <v/>
      </c>
      <c r="F225" s="11">
        <f>IF($A225="","",IFERROR(INDEX(Products!$F$2:$F$61,MATCH($A225,Products!$A$2:$A$61,0)),"Add to Products"))</f>
        <v/>
      </c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2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3" t="n"/>
      <c r="Y225" s="13" t="n"/>
      <c r="Z225" s="14" t="n"/>
      <c r="AA225" s="10" t="n"/>
      <c r="AB225" s="10" t="n"/>
      <c r="AC225" s="10" t="n"/>
      <c r="AD225" s="10" t="n"/>
      <c r="AE225" s="10" t="n"/>
      <c r="AF225" s="10" t="n"/>
      <c r="AG225" s="13" t="n"/>
    </row>
    <row r="226">
      <c r="A226" s="10" t="n"/>
      <c r="B226" s="11">
        <f>IF($A226="","",IFERROR(INDEX(Products!$B$2:$B$61,MATCH($A226,Products!$A$2:$A$61,0)),"Add to Products"))</f>
        <v/>
      </c>
      <c r="C226" s="11">
        <f>IF($A226="","",IFERROR(INDEX(Products!$C$2:$C$61,MATCH($A226,Products!$A$2:$A$61,0)),"Add to Products"))</f>
        <v/>
      </c>
      <c r="D226" s="11">
        <f>IF($A226="","",IFERROR(INDEX(Products!$D$2:$D$61,MATCH($A226,Products!$A$2:$A$61,0)),"Add to Products"))</f>
        <v/>
      </c>
      <c r="E226" s="11">
        <f>IF($A226="","",IFERROR(INDEX(Products!$E$2:$E$61,MATCH($A226,Products!$A$2:$A$61,0)),"Add to Products"))</f>
        <v/>
      </c>
      <c r="F226" s="11">
        <f>IF($A226="","",IFERROR(INDEX(Products!$F$2:$F$61,MATCH($A226,Products!$A$2:$A$61,0)),"Add to Products"))</f>
        <v/>
      </c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2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3" t="n"/>
      <c r="Y226" s="13" t="n"/>
      <c r="Z226" s="14" t="n"/>
      <c r="AA226" s="10" t="n"/>
      <c r="AB226" s="10" t="n"/>
      <c r="AC226" s="10" t="n"/>
      <c r="AD226" s="10" t="n"/>
      <c r="AE226" s="10" t="n"/>
      <c r="AF226" s="10" t="n"/>
      <c r="AG226" s="13" t="n"/>
    </row>
    <row r="227">
      <c r="A227" s="10" t="n"/>
      <c r="B227" s="11">
        <f>IF($A227="","",IFERROR(INDEX(Products!$B$2:$B$61,MATCH($A227,Products!$A$2:$A$61,0)),"Add to Products"))</f>
        <v/>
      </c>
      <c r="C227" s="11">
        <f>IF($A227="","",IFERROR(INDEX(Products!$C$2:$C$61,MATCH($A227,Products!$A$2:$A$61,0)),"Add to Products"))</f>
        <v/>
      </c>
      <c r="D227" s="11">
        <f>IF($A227="","",IFERROR(INDEX(Products!$D$2:$D$61,MATCH($A227,Products!$A$2:$A$61,0)),"Add to Products"))</f>
        <v/>
      </c>
      <c r="E227" s="11">
        <f>IF($A227="","",IFERROR(INDEX(Products!$E$2:$E$61,MATCH($A227,Products!$A$2:$A$61,0)),"Add to Products"))</f>
        <v/>
      </c>
      <c r="F227" s="11">
        <f>IF($A227="","",IFERROR(INDEX(Products!$F$2:$F$61,MATCH($A227,Products!$A$2:$A$61,0)),"Add to Products"))</f>
        <v/>
      </c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2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3" t="n"/>
      <c r="Y227" s="13" t="n"/>
      <c r="Z227" s="14" t="n"/>
      <c r="AA227" s="10" t="n"/>
      <c r="AB227" s="10" t="n"/>
      <c r="AC227" s="10" t="n"/>
      <c r="AD227" s="10" t="n"/>
      <c r="AE227" s="10" t="n"/>
      <c r="AF227" s="10" t="n"/>
      <c r="AG227" s="13" t="n"/>
    </row>
    <row r="228">
      <c r="A228" s="10" t="n"/>
      <c r="B228" s="11">
        <f>IF($A228="","",IFERROR(INDEX(Products!$B$2:$B$61,MATCH($A228,Products!$A$2:$A$61,0)),"Add to Products"))</f>
        <v/>
      </c>
      <c r="C228" s="11">
        <f>IF($A228="","",IFERROR(INDEX(Products!$C$2:$C$61,MATCH($A228,Products!$A$2:$A$61,0)),"Add to Products"))</f>
        <v/>
      </c>
      <c r="D228" s="11">
        <f>IF($A228="","",IFERROR(INDEX(Products!$D$2:$D$61,MATCH($A228,Products!$A$2:$A$61,0)),"Add to Products"))</f>
        <v/>
      </c>
      <c r="E228" s="11">
        <f>IF($A228="","",IFERROR(INDEX(Products!$E$2:$E$61,MATCH($A228,Products!$A$2:$A$61,0)),"Add to Products"))</f>
        <v/>
      </c>
      <c r="F228" s="11">
        <f>IF($A228="","",IFERROR(INDEX(Products!$F$2:$F$61,MATCH($A228,Products!$A$2:$A$61,0)),"Add to Products"))</f>
        <v/>
      </c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2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3" t="n"/>
      <c r="Y228" s="13" t="n"/>
      <c r="Z228" s="14" t="n"/>
      <c r="AA228" s="10" t="n"/>
      <c r="AB228" s="10" t="n"/>
      <c r="AC228" s="10" t="n"/>
      <c r="AD228" s="10" t="n"/>
      <c r="AE228" s="10" t="n"/>
      <c r="AF228" s="10" t="n"/>
      <c r="AG228" s="13" t="n"/>
    </row>
    <row r="229">
      <c r="A229" s="10" t="n"/>
      <c r="B229" s="11">
        <f>IF($A229="","",IFERROR(INDEX(Products!$B$2:$B$61,MATCH($A229,Products!$A$2:$A$61,0)),"Add to Products"))</f>
        <v/>
      </c>
      <c r="C229" s="11">
        <f>IF($A229="","",IFERROR(INDEX(Products!$C$2:$C$61,MATCH($A229,Products!$A$2:$A$61,0)),"Add to Products"))</f>
        <v/>
      </c>
      <c r="D229" s="11">
        <f>IF($A229="","",IFERROR(INDEX(Products!$D$2:$D$61,MATCH($A229,Products!$A$2:$A$61,0)),"Add to Products"))</f>
        <v/>
      </c>
      <c r="E229" s="11">
        <f>IF($A229="","",IFERROR(INDEX(Products!$E$2:$E$61,MATCH($A229,Products!$A$2:$A$61,0)),"Add to Products"))</f>
        <v/>
      </c>
      <c r="F229" s="11">
        <f>IF($A229="","",IFERROR(INDEX(Products!$F$2:$F$61,MATCH($A229,Products!$A$2:$A$61,0)),"Add to Products"))</f>
        <v/>
      </c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2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3" t="n"/>
      <c r="Y229" s="13" t="n"/>
      <c r="Z229" s="14" t="n"/>
      <c r="AA229" s="10" t="n"/>
      <c r="AB229" s="10" t="n"/>
      <c r="AC229" s="10" t="n"/>
      <c r="AD229" s="10" t="n"/>
      <c r="AE229" s="10" t="n"/>
      <c r="AF229" s="10" t="n"/>
      <c r="AG229" s="13" t="n"/>
    </row>
    <row r="230">
      <c r="A230" s="10" t="n"/>
      <c r="B230" s="11">
        <f>IF($A230="","",IFERROR(INDEX(Products!$B$2:$B$61,MATCH($A230,Products!$A$2:$A$61,0)),"Add to Products"))</f>
        <v/>
      </c>
      <c r="C230" s="11">
        <f>IF($A230="","",IFERROR(INDEX(Products!$C$2:$C$61,MATCH($A230,Products!$A$2:$A$61,0)),"Add to Products"))</f>
        <v/>
      </c>
      <c r="D230" s="11">
        <f>IF($A230="","",IFERROR(INDEX(Products!$D$2:$D$61,MATCH($A230,Products!$A$2:$A$61,0)),"Add to Products"))</f>
        <v/>
      </c>
      <c r="E230" s="11">
        <f>IF($A230="","",IFERROR(INDEX(Products!$E$2:$E$61,MATCH($A230,Products!$A$2:$A$61,0)),"Add to Products"))</f>
        <v/>
      </c>
      <c r="F230" s="11">
        <f>IF($A230="","",IFERROR(INDEX(Products!$F$2:$F$61,MATCH($A230,Products!$A$2:$A$61,0)),"Add to Products"))</f>
        <v/>
      </c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2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3" t="n"/>
      <c r="Y230" s="13" t="n"/>
      <c r="Z230" s="14" t="n"/>
      <c r="AA230" s="10" t="n"/>
      <c r="AB230" s="10" t="n"/>
      <c r="AC230" s="10" t="n"/>
      <c r="AD230" s="10" t="n"/>
      <c r="AE230" s="10" t="n"/>
      <c r="AF230" s="10" t="n"/>
      <c r="AG230" s="13" t="n"/>
    </row>
    <row r="231">
      <c r="A231" s="10" t="n"/>
      <c r="B231" s="11">
        <f>IF($A231="","",IFERROR(INDEX(Products!$B$2:$B$61,MATCH($A231,Products!$A$2:$A$61,0)),"Add to Products"))</f>
        <v/>
      </c>
      <c r="C231" s="11">
        <f>IF($A231="","",IFERROR(INDEX(Products!$C$2:$C$61,MATCH($A231,Products!$A$2:$A$61,0)),"Add to Products"))</f>
        <v/>
      </c>
      <c r="D231" s="11">
        <f>IF($A231="","",IFERROR(INDEX(Products!$D$2:$D$61,MATCH($A231,Products!$A$2:$A$61,0)),"Add to Products"))</f>
        <v/>
      </c>
      <c r="E231" s="11">
        <f>IF($A231="","",IFERROR(INDEX(Products!$E$2:$E$61,MATCH($A231,Products!$A$2:$A$61,0)),"Add to Products"))</f>
        <v/>
      </c>
      <c r="F231" s="11">
        <f>IF($A231="","",IFERROR(INDEX(Products!$F$2:$F$61,MATCH($A231,Products!$A$2:$A$61,0)),"Add to Products"))</f>
        <v/>
      </c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2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3" t="n"/>
      <c r="Y231" s="13" t="n"/>
      <c r="Z231" s="14" t="n"/>
      <c r="AA231" s="10" t="n"/>
      <c r="AB231" s="10" t="n"/>
      <c r="AC231" s="10" t="n"/>
      <c r="AD231" s="10" t="n"/>
      <c r="AE231" s="10" t="n"/>
      <c r="AF231" s="10" t="n"/>
      <c r="AG231" s="13" t="n"/>
    </row>
    <row r="232">
      <c r="A232" s="10" t="n"/>
      <c r="B232" s="11">
        <f>IF($A232="","",IFERROR(INDEX(Products!$B$2:$B$61,MATCH($A232,Products!$A$2:$A$61,0)),"Add to Products"))</f>
        <v/>
      </c>
      <c r="C232" s="11">
        <f>IF($A232="","",IFERROR(INDEX(Products!$C$2:$C$61,MATCH($A232,Products!$A$2:$A$61,0)),"Add to Products"))</f>
        <v/>
      </c>
      <c r="D232" s="11">
        <f>IF($A232="","",IFERROR(INDEX(Products!$D$2:$D$61,MATCH($A232,Products!$A$2:$A$61,0)),"Add to Products"))</f>
        <v/>
      </c>
      <c r="E232" s="11">
        <f>IF($A232="","",IFERROR(INDEX(Products!$E$2:$E$61,MATCH($A232,Products!$A$2:$A$61,0)),"Add to Products"))</f>
        <v/>
      </c>
      <c r="F232" s="11">
        <f>IF($A232="","",IFERROR(INDEX(Products!$F$2:$F$61,MATCH($A232,Products!$A$2:$A$61,0)),"Add to Products"))</f>
        <v/>
      </c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2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3" t="n"/>
      <c r="Y232" s="13" t="n"/>
      <c r="Z232" s="14" t="n"/>
      <c r="AA232" s="10" t="n"/>
      <c r="AB232" s="10" t="n"/>
      <c r="AC232" s="10" t="n"/>
      <c r="AD232" s="10" t="n"/>
      <c r="AE232" s="10" t="n"/>
      <c r="AF232" s="10" t="n"/>
      <c r="AG232" s="13" t="n"/>
    </row>
    <row r="233">
      <c r="A233" s="10" t="n"/>
      <c r="B233" s="11">
        <f>IF($A233="","",IFERROR(INDEX(Products!$B$2:$B$61,MATCH($A233,Products!$A$2:$A$61,0)),"Add to Products"))</f>
        <v/>
      </c>
      <c r="C233" s="11">
        <f>IF($A233="","",IFERROR(INDEX(Products!$C$2:$C$61,MATCH($A233,Products!$A$2:$A$61,0)),"Add to Products"))</f>
        <v/>
      </c>
      <c r="D233" s="11">
        <f>IF($A233="","",IFERROR(INDEX(Products!$D$2:$D$61,MATCH($A233,Products!$A$2:$A$61,0)),"Add to Products"))</f>
        <v/>
      </c>
      <c r="E233" s="11">
        <f>IF($A233="","",IFERROR(INDEX(Products!$E$2:$E$61,MATCH($A233,Products!$A$2:$A$61,0)),"Add to Products"))</f>
        <v/>
      </c>
      <c r="F233" s="11">
        <f>IF($A233="","",IFERROR(INDEX(Products!$F$2:$F$61,MATCH($A233,Products!$A$2:$A$61,0)),"Add to Products"))</f>
        <v/>
      </c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2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3" t="n"/>
      <c r="Y233" s="13" t="n"/>
      <c r="Z233" s="14" t="n"/>
      <c r="AA233" s="10" t="n"/>
      <c r="AB233" s="10" t="n"/>
      <c r="AC233" s="10" t="n"/>
      <c r="AD233" s="10" t="n"/>
      <c r="AE233" s="10" t="n"/>
      <c r="AF233" s="10" t="n"/>
      <c r="AG233" s="13" t="n"/>
    </row>
    <row r="234">
      <c r="A234" s="10" t="n"/>
      <c r="B234" s="11">
        <f>IF($A234="","",IFERROR(INDEX(Products!$B$2:$B$61,MATCH($A234,Products!$A$2:$A$61,0)),"Add to Products"))</f>
        <v/>
      </c>
      <c r="C234" s="11">
        <f>IF($A234="","",IFERROR(INDEX(Products!$C$2:$C$61,MATCH($A234,Products!$A$2:$A$61,0)),"Add to Products"))</f>
        <v/>
      </c>
      <c r="D234" s="11">
        <f>IF($A234="","",IFERROR(INDEX(Products!$D$2:$D$61,MATCH($A234,Products!$A$2:$A$61,0)),"Add to Products"))</f>
        <v/>
      </c>
      <c r="E234" s="11">
        <f>IF($A234="","",IFERROR(INDEX(Products!$E$2:$E$61,MATCH($A234,Products!$A$2:$A$61,0)),"Add to Products"))</f>
        <v/>
      </c>
      <c r="F234" s="11">
        <f>IF($A234="","",IFERROR(INDEX(Products!$F$2:$F$61,MATCH($A234,Products!$A$2:$A$61,0)),"Add to Products"))</f>
        <v/>
      </c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2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3" t="n"/>
      <c r="Y234" s="13" t="n"/>
      <c r="Z234" s="14" t="n"/>
      <c r="AA234" s="10" t="n"/>
      <c r="AB234" s="10" t="n"/>
      <c r="AC234" s="10" t="n"/>
      <c r="AD234" s="10" t="n"/>
      <c r="AE234" s="10" t="n"/>
      <c r="AF234" s="10" t="n"/>
      <c r="AG234" s="13" t="n"/>
    </row>
    <row r="235">
      <c r="A235" s="10" t="n"/>
      <c r="B235" s="11">
        <f>IF($A235="","",IFERROR(INDEX(Products!$B$2:$B$61,MATCH($A235,Products!$A$2:$A$61,0)),"Add to Products"))</f>
        <v/>
      </c>
      <c r="C235" s="11">
        <f>IF($A235="","",IFERROR(INDEX(Products!$C$2:$C$61,MATCH($A235,Products!$A$2:$A$61,0)),"Add to Products"))</f>
        <v/>
      </c>
      <c r="D235" s="11">
        <f>IF($A235="","",IFERROR(INDEX(Products!$D$2:$D$61,MATCH($A235,Products!$A$2:$A$61,0)),"Add to Products"))</f>
        <v/>
      </c>
      <c r="E235" s="11">
        <f>IF($A235="","",IFERROR(INDEX(Products!$E$2:$E$61,MATCH($A235,Products!$A$2:$A$61,0)),"Add to Products"))</f>
        <v/>
      </c>
      <c r="F235" s="11">
        <f>IF($A235="","",IFERROR(INDEX(Products!$F$2:$F$61,MATCH($A235,Products!$A$2:$A$61,0)),"Add to Products"))</f>
        <v/>
      </c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2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3" t="n"/>
      <c r="Y235" s="13" t="n"/>
      <c r="Z235" s="14" t="n"/>
      <c r="AA235" s="10" t="n"/>
      <c r="AB235" s="10" t="n"/>
      <c r="AC235" s="10" t="n"/>
      <c r="AD235" s="10" t="n"/>
      <c r="AE235" s="10" t="n"/>
      <c r="AF235" s="10" t="n"/>
      <c r="AG235" s="13" t="n"/>
    </row>
    <row r="236">
      <c r="A236" s="10" t="n"/>
      <c r="B236" s="11">
        <f>IF($A236="","",IFERROR(INDEX(Products!$B$2:$B$61,MATCH($A236,Products!$A$2:$A$61,0)),"Add to Products"))</f>
        <v/>
      </c>
      <c r="C236" s="11">
        <f>IF($A236="","",IFERROR(INDEX(Products!$C$2:$C$61,MATCH($A236,Products!$A$2:$A$61,0)),"Add to Products"))</f>
        <v/>
      </c>
      <c r="D236" s="11">
        <f>IF($A236="","",IFERROR(INDEX(Products!$D$2:$D$61,MATCH($A236,Products!$A$2:$A$61,0)),"Add to Products"))</f>
        <v/>
      </c>
      <c r="E236" s="11">
        <f>IF($A236="","",IFERROR(INDEX(Products!$E$2:$E$61,MATCH($A236,Products!$A$2:$A$61,0)),"Add to Products"))</f>
        <v/>
      </c>
      <c r="F236" s="11">
        <f>IF($A236="","",IFERROR(INDEX(Products!$F$2:$F$61,MATCH($A236,Products!$A$2:$A$61,0)),"Add to Products"))</f>
        <v/>
      </c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2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3" t="n"/>
      <c r="Y236" s="13" t="n"/>
      <c r="Z236" s="14" t="n"/>
      <c r="AA236" s="10" t="n"/>
      <c r="AB236" s="10" t="n"/>
      <c r="AC236" s="10" t="n"/>
      <c r="AD236" s="10" t="n"/>
      <c r="AE236" s="10" t="n"/>
      <c r="AF236" s="10" t="n"/>
      <c r="AG236" s="13" t="n"/>
    </row>
    <row r="237">
      <c r="A237" s="10" t="n"/>
      <c r="B237" s="11">
        <f>IF($A237="","",IFERROR(INDEX(Products!$B$2:$B$61,MATCH($A237,Products!$A$2:$A$61,0)),"Add to Products"))</f>
        <v/>
      </c>
      <c r="C237" s="11">
        <f>IF($A237="","",IFERROR(INDEX(Products!$C$2:$C$61,MATCH($A237,Products!$A$2:$A$61,0)),"Add to Products"))</f>
        <v/>
      </c>
      <c r="D237" s="11">
        <f>IF($A237="","",IFERROR(INDEX(Products!$D$2:$D$61,MATCH($A237,Products!$A$2:$A$61,0)),"Add to Products"))</f>
        <v/>
      </c>
      <c r="E237" s="11">
        <f>IF($A237="","",IFERROR(INDEX(Products!$E$2:$E$61,MATCH($A237,Products!$A$2:$A$61,0)),"Add to Products"))</f>
        <v/>
      </c>
      <c r="F237" s="11">
        <f>IF($A237="","",IFERROR(INDEX(Products!$F$2:$F$61,MATCH($A237,Products!$A$2:$A$61,0)),"Add to Products"))</f>
        <v/>
      </c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2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3" t="n"/>
      <c r="Y237" s="13" t="n"/>
      <c r="Z237" s="14" t="n"/>
      <c r="AA237" s="10" t="n"/>
      <c r="AB237" s="10" t="n"/>
      <c r="AC237" s="10" t="n"/>
      <c r="AD237" s="10" t="n"/>
      <c r="AE237" s="10" t="n"/>
      <c r="AF237" s="10" t="n"/>
      <c r="AG237" s="13" t="n"/>
    </row>
    <row r="238">
      <c r="A238" s="10" t="n"/>
      <c r="B238" s="11">
        <f>IF($A238="","",IFERROR(INDEX(Products!$B$2:$B$61,MATCH($A238,Products!$A$2:$A$61,0)),"Add to Products"))</f>
        <v/>
      </c>
      <c r="C238" s="11">
        <f>IF($A238="","",IFERROR(INDEX(Products!$C$2:$C$61,MATCH($A238,Products!$A$2:$A$61,0)),"Add to Products"))</f>
        <v/>
      </c>
      <c r="D238" s="11">
        <f>IF($A238="","",IFERROR(INDEX(Products!$D$2:$D$61,MATCH($A238,Products!$A$2:$A$61,0)),"Add to Products"))</f>
        <v/>
      </c>
      <c r="E238" s="11">
        <f>IF($A238="","",IFERROR(INDEX(Products!$E$2:$E$61,MATCH($A238,Products!$A$2:$A$61,0)),"Add to Products"))</f>
        <v/>
      </c>
      <c r="F238" s="11">
        <f>IF($A238="","",IFERROR(INDEX(Products!$F$2:$F$61,MATCH($A238,Products!$A$2:$A$61,0)),"Add to Products"))</f>
        <v/>
      </c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2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3" t="n"/>
      <c r="Y238" s="13" t="n"/>
      <c r="Z238" s="14" t="n"/>
      <c r="AA238" s="10" t="n"/>
      <c r="AB238" s="10" t="n"/>
      <c r="AC238" s="10" t="n"/>
      <c r="AD238" s="10" t="n"/>
      <c r="AE238" s="10" t="n"/>
      <c r="AF238" s="10" t="n"/>
      <c r="AG238" s="13" t="n"/>
    </row>
    <row r="239">
      <c r="A239" s="10" t="n"/>
      <c r="B239" s="11">
        <f>IF($A239="","",IFERROR(INDEX(Products!$B$2:$B$61,MATCH($A239,Products!$A$2:$A$61,0)),"Add to Products"))</f>
        <v/>
      </c>
      <c r="C239" s="11">
        <f>IF($A239="","",IFERROR(INDEX(Products!$C$2:$C$61,MATCH($A239,Products!$A$2:$A$61,0)),"Add to Products"))</f>
        <v/>
      </c>
      <c r="D239" s="11">
        <f>IF($A239="","",IFERROR(INDEX(Products!$D$2:$D$61,MATCH($A239,Products!$A$2:$A$61,0)),"Add to Products"))</f>
        <v/>
      </c>
      <c r="E239" s="11">
        <f>IF($A239="","",IFERROR(INDEX(Products!$E$2:$E$61,MATCH($A239,Products!$A$2:$A$61,0)),"Add to Products"))</f>
        <v/>
      </c>
      <c r="F239" s="11">
        <f>IF($A239="","",IFERROR(INDEX(Products!$F$2:$F$61,MATCH($A239,Products!$A$2:$A$61,0)),"Add to Products"))</f>
        <v/>
      </c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2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3" t="n"/>
      <c r="Y239" s="13" t="n"/>
      <c r="Z239" s="14" t="n"/>
      <c r="AA239" s="10" t="n"/>
      <c r="AB239" s="10" t="n"/>
      <c r="AC239" s="10" t="n"/>
      <c r="AD239" s="10" t="n"/>
      <c r="AE239" s="10" t="n"/>
      <c r="AF239" s="10" t="n"/>
      <c r="AG239" s="13" t="n"/>
    </row>
    <row r="240">
      <c r="A240" s="10" t="n"/>
      <c r="B240" s="11">
        <f>IF($A240="","",IFERROR(INDEX(Products!$B$2:$B$61,MATCH($A240,Products!$A$2:$A$61,0)),"Add to Products"))</f>
        <v/>
      </c>
      <c r="C240" s="11">
        <f>IF($A240="","",IFERROR(INDEX(Products!$C$2:$C$61,MATCH($A240,Products!$A$2:$A$61,0)),"Add to Products"))</f>
        <v/>
      </c>
      <c r="D240" s="11">
        <f>IF($A240="","",IFERROR(INDEX(Products!$D$2:$D$61,MATCH($A240,Products!$A$2:$A$61,0)),"Add to Products"))</f>
        <v/>
      </c>
      <c r="E240" s="11">
        <f>IF($A240="","",IFERROR(INDEX(Products!$E$2:$E$61,MATCH($A240,Products!$A$2:$A$61,0)),"Add to Products"))</f>
        <v/>
      </c>
      <c r="F240" s="11">
        <f>IF($A240="","",IFERROR(INDEX(Products!$F$2:$F$61,MATCH($A240,Products!$A$2:$A$61,0)),"Add to Products"))</f>
        <v/>
      </c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2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3" t="n"/>
      <c r="Y240" s="13" t="n"/>
      <c r="Z240" s="14" t="n"/>
      <c r="AA240" s="10" t="n"/>
      <c r="AB240" s="10" t="n"/>
      <c r="AC240" s="10" t="n"/>
      <c r="AD240" s="10" t="n"/>
      <c r="AE240" s="10" t="n"/>
      <c r="AF240" s="10" t="n"/>
      <c r="AG240" s="13" t="n"/>
    </row>
    <row r="241">
      <c r="A241" s="10" t="n"/>
      <c r="B241" s="11">
        <f>IF($A241="","",IFERROR(INDEX(Products!$B$2:$B$61,MATCH($A241,Products!$A$2:$A$61,0)),"Add to Products"))</f>
        <v/>
      </c>
      <c r="C241" s="11">
        <f>IF($A241="","",IFERROR(INDEX(Products!$C$2:$C$61,MATCH($A241,Products!$A$2:$A$61,0)),"Add to Products"))</f>
        <v/>
      </c>
      <c r="D241" s="11">
        <f>IF($A241="","",IFERROR(INDEX(Products!$D$2:$D$61,MATCH($A241,Products!$A$2:$A$61,0)),"Add to Products"))</f>
        <v/>
      </c>
      <c r="E241" s="11">
        <f>IF($A241="","",IFERROR(INDEX(Products!$E$2:$E$61,MATCH($A241,Products!$A$2:$A$61,0)),"Add to Products"))</f>
        <v/>
      </c>
      <c r="F241" s="11">
        <f>IF($A241="","",IFERROR(INDEX(Products!$F$2:$F$61,MATCH($A241,Products!$A$2:$A$61,0)),"Add to Products"))</f>
        <v/>
      </c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2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3" t="n"/>
      <c r="Y241" s="13" t="n"/>
      <c r="Z241" s="14" t="n"/>
      <c r="AA241" s="10" t="n"/>
      <c r="AB241" s="10" t="n"/>
      <c r="AC241" s="10" t="n"/>
      <c r="AD241" s="10" t="n"/>
      <c r="AE241" s="10" t="n"/>
      <c r="AF241" s="10" t="n"/>
      <c r="AG241" s="13" t="n"/>
    </row>
    <row r="242">
      <c r="A242" s="10" t="n"/>
      <c r="B242" s="11">
        <f>IF($A242="","",IFERROR(INDEX(Products!$B$2:$B$61,MATCH($A242,Products!$A$2:$A$61,0)),"Add to Products"))</f>
        <v/>
      </c>
      <c r="C242" s="11">
        <f>IF($A242="","",IFERROR(INDEX(Products!$C$2:$C$61,MATCH($A242,Products!$A$2:$A$61,0)),"Add to Products"))</f>
        <v/>
      </c>
      <c r="D242" s="11">
        <f>IF($A242="","",IFERROR(INDEX(Products!$D$2:$D$61,MATCH($A242,Products!$A$2:$A$61,0)),"Add to Products"))</f>
        <v/>
      </c>
      <c r="E242" s="11">
        <f>IF($A242="","",IFERROR(INDEX(Products!$E$2:$E$61,MATCH($A242,Products!$A$2:$A$61,0)),"Add to Products"))</f>
        <v/>
      </c>
      <c r="F242" s="11">
        <f>IF($A242="","",IFERROR(INDEX(Products!$F$2:$F$61,MATCH($A242,Products!$A$2:$A$61,0)),"Add to Products"))</f>
        <v/>
      </c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2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3" t="n"/>
      <c r="Y242" s="13" t="n"/>
      <c r="Z242" s="14" t="n"/>
      <c r="AA242" s="10" t="n"/>
      <c r="AB242" s="10" t="n"/>
      <c r="AC242" s="10" t="n"/>
      <c r="AD242" s="10" t="n"/>
      <c r="AE242" s="10" t="n"/>
      <c r="AF242" s="10" t="n"/>
      <c r="AG242" s="13" t="n"/>
    </row>
    <row r="243">
      <c r="A243" s="10" t="n"/>
      <c r="B243" s="11">
        <f>IF($A243="","",IFERROR(INDEX(Products!$B$2:$B$61,MATCH($A243,Products!$A$2:$A$61,0)),"Add to Products"))</f>
        <v/>
      </c>
      <c r="C243" s="11">
        <f>IF($A243="","",IFERROR(INDEX(Products!$C$2:$C$61,MATCH($A243,Products!$A$2:$A$61,0)),"Add to Products"))</f>
        <v/>
      </c>
      <c r="D243" s="11">
        <f>IF($A243="","",IFERROR(INDEX(Products!$D$2:$D$61,MATCH($A243,Products!$A$2:$A$61,0)),"Add to Products"))</f>
        <v/>
      </c>
      <c r="E243" s="11">
        <f>IF($A243="","",IFERROR(INDEX(Products!$E$2:$E$61,MATCH($A243,Products!$A$2:$A$61,0)),"Add to Products"))</f>
        <v/>
      </c>
      <c r="F243" s="11">
        <f>IF($A243="","",IFERROR(INDEX(Products!$F$2:$F$61,MATCH($A243,Products!$A$2:$A$61,0)),"Add to Products"))</f>
        <v/>
      </c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2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3" t="n"/>
      <c r="Y243" s="13" t="n"/>
      <c r="Z243" s="14" t="n"/>
      <c r="AA243" s="10" t="n"/>
      <c r="AB243" s="10" t="n"/>
      <c r="AC243" s="10" t="n"/>
      <c r="AD243" s="10" t="n"/>
      <c r="AE243" s="10" t="n"/>
      <c r="AF243" s="10" t="n"/>
      <c r="AG243" s="13" t="n"/>
    </row>
    <row r="244">
      <c r="A244" s="10" t="n"/>
      <c r="B244" s="11">
        <f>IF($A244="","",IFERROR(INDEX(Products!$B$2:$B$61,MATCH($A244,Products!$A$2:$A$61,0)),"Add to Products"))</f>
        <v/>
      </c>
      <c r="C244" s="11">
        <f>IF($A244="","",IFERROR(INDEX(Products!$C$2:$C$61,MATCH($A244,Products!$A$2:$A$61,0)),"Add to Products"))</f>
        <v/>
      </c>
      <c r="D244" s="11">
        <f>IF($A244="","",IFERROR(INDEX(Products!$D$2:$D$61,MATCH($A244,Products!$A$2:$A$61,0)),"Add to Products"))</f>
        <v/>
      </c>
      <c r="E244" s="11">
        <f>IF($A244="","",IFERROR(INDEX(Products!$E$2:$E$61,MATCH($A244,Products!$A$2:$A$61,0)),"Add to Products"))</f>
        <v/>
      </c>
      <c r="F244" s="11">
        <f>IF($A244="","",IFERROR(INDEX(Products!$F$2:$F$61,MATCH($A244,Products!$A$2:$A$61,0)),"Add to Products"))</f>
        <v/>
      </c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2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3" t="n"/>
      <c r="Y244" s="13" t="n"/>
      <c r="Z244" s="14" t="n"/>
      <c r="AA244" s="10" t="n"/>
      <c r="AB244" s="10" t="n"/>
      <c r="AC244" s="10" t="n"/>
      <c r="AD244" s="10" t="n"/>
      <c r="AE244" s="10" t="n"/>
      <c r="AF244" s="10" t="n"/>
      <c r="AG244" s="13" t="n"/>
    </row>
    <row r="245">
      <c r="A245" s="10" t="n"/>
      <c r="B245" s="11">
        <f>IF($A245="","",IFERROR(INDEX(Products!$B$2:$B$61,MATCH($A245,Products!$A$2:$A$61,0)),"Add to Products"))</f>
        <v/>
      </c>
      <c r="C245" s="11">
        <f>IF($A245="","",IFERROR(INDEX(Products!$C$2:$C$61,MATCH($A245,Products!$A$2:$A$61,0)),"Add to Products"))</f>
        <v/>
      </c>
      <c r="D245" s="11">
        <f>IF($A245="","",IFERROR(INDEX(Products!$D$2:$D$61,MATCH($A245,Products!$A$2:$A$61,0)),"Add to Products"))</f>
        <v/>
      </c>
      <c r="E245" s="11">
        <f>IF($A245="","",IFERROR(INDEX(Products!$E$2:$E$61,MATCH($A245,Products!$A$2:$A$61,0)),"Add to Products"))</f>
        <v/>
      </c>
      <c r="F245" s="11">
        <f>IF($A245="","",IFERROR(INDEX(Products!$F$2:$F$61,MATCH($A245,Products!$A$2:$A$61,0)),"Add to Products"))</f>
        <v/>
      </c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2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3" t="n"/>
      <c r="Y245" s="13" t="n"/>
      <c r="Z245" s="14" t="n"/>
      <c r="AA245" s="10" t="n"/>
      <c r="AB245" s="10" t="n"/>
      <c r="AC245" s="10" t="n"/>
      <c r="AD245" s="10" t="n"/>
      <c r="AE245" s="10" t="n"/>
      <c r="AF245" s="10" t="n"/>
      <c r="AG245" s="13" t="n"/>
    </row>
    <row r="246">
      <c r="A246" s="10" t="n"/>
      <c r="B246" s="11">
        <f>IF($A246="","",IFERROR(INDEX(Products!$B$2:$B$61,MATCH($A246,Products!$A$2:$A$61,0)),"Add to Products"))</f>
        <v/>
      </c>
      <c r="C246" s="11">
        <f>IF($A246="","",IFERROR(INDEX(Products!$C$2:$C$61,MATCH($A246,Products!$A$2:$A$61,0)),"Add to Products"))</f>
        <v/>
      </c>
      <c r="D246" s="11">
        <f>IF($A246="","",IFERROR(INDEX(Products!$D$2:$D$61,MATCH($A246,Products!$A$2:$A$61,0)),"Add to Products"))</f>
        <v/>
      </c>
      <c r="E246" s="11">
        <f>IF($A246="","",IFERROR(INDEX(Products!$E$2:$E$61,MATCH($A246,Products!$A$2:$A$61,0)),"Add to Products"))</f>
        <v/>
      </c>
      <c r="F246" s="11">
        <f>IF($A246="","",IFERROR(INDEX(Products!$F$2:$F$61,MATCH($A246,Products!$A$2:$A$61,0)),"Add to Products"))</f>
        <v/>
      </c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2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3" t="n"/>
      <c r="Y246" s="13" t="n"/>
      <c r="Z246" s="14" t="n"/>
      <c r="AA246" s="10" t="n"/>
      <c r="AB246" s="10" t="n"/>
      <c r="AC246" s="10" t="n"/>
      <c r="AD246" s="10" t="n"/>
      <c r="AE246" s="10" t="n"/>
      <c r="AF246" s="10" t="n"/>
      <c r="AG246" s="13" t="n"/>
    </row>
    <row r="247">
      <c r="A247" s="10" t="n"/>
      <c r="B247" s="11">
        <f>IF($A247="","",IFERROR(INDEX(Products!$B$2:$B$61,MATCH($A247,Products!$A$2:$A$61,0)),"Add to Products"))</f>
        <v/>
      </c>
      <c r="C247" s="11">
        <f>IF($A247="","",IFERROR(INDEX(Products!$C$2:$C$61,MATCH($A247,Products!$A$2:$A$61,0)),"Add to Products"))</f>
        <v/>
      </c>
      <c r="D247" s="11">
        <f>IF($A247="","",IFERROR(INDEX(Products!$D$2:$D$61,MATCH($A247,Products!$A$2:$A$61,0)),"Add to Products"))</f>
        <v/>
      </c>
      <c r="E247" s="11">
        <f>IF($A247="","",IFERROR(INDEX(Products!$E$2:$E$61,MATCH($A247,Products!$A$2:$A$61,0)),"Add to Products"))</f>
        <v/>
      </c>
      <c r="F247" s="11">
        <f>IF($A247="","",IFERROR(INDEX(Products!$F$2:$F$61,MATCH($A247,Products!$A$2:$A$61,0)),"Add to Products"))</f>
        <v/>
      </c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2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3" t="n"/>
      <c r="Y247" s="13" t="n"/>
      <c r="Z247" s="14" t="n"/>
      <c r="AA247" s="10" t="n"/>
      <c r="AB247" s="10" t="n"/>
      <c r="AC247" s="10" t="n"/>
      <c r="AD247" s="10" t="n"/>
      <c r="AE247" s="10" t="n"/>
      <c r="AF247" s="10" t="n"/>
      <c r="AG247" s="13" t="n"/>
    </row>
    <row r="248">
      <c r="A248" s="10" t="n"/>
      <c r="B248" s="11">
        <f>IF($A248="","",IFERROR(INDEX(Products!$B$2:$B$61,MATCH($A248,Products!$A$2:$A$61,0)),"Add to Products"))</f>
        <v/>
      </c>
      <c r="C248" s="11">
        <f>IF($A248="","",IFERROR(INDEX(Products!$C$2:$C$61,MATCH($A248,Products!$A$2:$A$61,0)),"Add to Products"))</f>
        <v/>
      </c>
      <c r="D248" s="11">
        <f>IF($A248="","",IFERROR(INDEX(Products!$D$2:$D$61,MATCH($A248,Products!$A$2:$A$61,0)),"Add to Products"))</f>
        <v/>
      </c>
      <c r="E248" s="11">
        <f>IF($A248="","",IFERROR(INDEX(Products!$E$2:$E$61,MATCH($A248,Products!$A$2:$A$61,0)),"Add to Products"))</f>
        <v/>
      </c>
      <c r="F248" s="11">
        <f>IF($A248="","",IFERROR(INDEX(Products!$F$2:$F$61,MATCH($A248,Products!$A$2:$A$61,0)),"Add to Products"))</f>
        <v/>
      </c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2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3" t="n"/>
      <c r="Y248" s="13" t="n"/>
      <c r="Z248" s="14" t="n"/>
      <c r="AA248" s="10" t="n"/>
      <c r="AB248" s="10" t="n"/>
      <c r="AC248" s="10" t="n"/>
      <c r="AD248" s="10" t="n"/>
      <c r="AE248" s="10" t="n"/>
      <c r="AF248" s="10" t="n"/>
      <c r="AG248" s="13" t="n"/>
    </row>
    <row r="249">
      <c r="A249" s="10" t="n"/>
      <c r="B249" s="11">
        <f>IF($A249="","",IFERROR(INDEX(Products!$B$2:$B$61,MATCH($A249,Products!$A$2:$A$61,0)),"Add to Products"))</f>
        <v/>
      </c>
      <c r="C249" s="11">
        <f>IF($A249="","",IFERROR(INDEX(Products!$C$2:$C$61,MATCH($A249,Products!$A$2:$A$61,0)),"Add to Products"))</f>
        <v/>
      </c>
      <c r="D249" s="11">
        <f>IF($A249="","",IFERROR(INDEX(Products!$D$2:$D$61,MATCH($A249,Products!$A$2:$A$61,0)),"Add to Products"))</f>
        <v/>
      </c>
      <c r="E249" s="11">
        <f>IF($A249="","",IFERROR(INDEX(Products!$E$2:$E$61,MATCH($A249,Products!$A$2:$A$61,0)),"Add to Products"))</f>
        <v/>
      </c>
      <c r="F249" s="11">
        <f>IF($A249="","",IFERROR(INDEX(Products!$F$2:$F$61,MATCH($A249,Products!$A$2:$A$61,0)),"Add to Products"))</f>
        <v/>
      </c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2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3" t="n"/>
      <c r="Y249" s="13" t="n"/>
      <c r="Z249" s="14" t="n"/>
      <c r="AA249" s="10" t="n"/>
      <c r="AB249" s="10" t="n"/>
      <c r="AC249" s="10" t="n"/>
      <c r="AD249" s="10" t="n"/>
      <c r="AE249" s="10" t="n"/>
      <c r="AF249" s="10" t="n"/>
      <c r="AG249" s="13" t="n"/>
    </row>
    <row r="250">
      <c r="A250" s="10" t="n"/>
      <c r="B250" s="11">
        <f>IF($A250="","",IFERROR(INDEX(Products!$B$2:$B$61,MATCH($A250,Products!$A$2:$A$61,0)),"Add to Products"))</f>
        <v/>
      </c>
      <c r="C250" s="11">
        <f>IF($A250="","",IFERROR(INDEX(Products!$C$2:$C$61,MATCH($A250,Products!$A$2:$A$61,0)),"Add to Products"))</f>
        <v/>
      </c>
      <c r="D250" s="11">
        <f>IF($A250="","",IFERROR(INDEX(Products!$D$2:$D$61,MATCH($A250,Products!$A$2:$A$61,0)),"Add to Products"))</f>
        <v/>
      </c>
      <c r="E250" s="11">
        <f>IF($A250="","",IFERROR(INDEX(Products!$E$2:$E$61,MATCH($A250,Products!$A$2:$A$61,0)),"Add to Products"))</f>
        <v/>
      </c>
      <c r="F250" s="11">
        <f>IF($A250="","",IFERROR(INDEX(Products!$F$2:$F$61,MATCH($A250,Products!$A$2:$A$61,0)),"Add to Products"))</f>
        <v/>
      </c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2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3" t="n"/>
      <c r="Y250" s="13" t="n"/>
      <c r="Z250" s="14" t="n"/>
      <c r="AA250" s="10" t="n"/>
      <c r="AB250" s="10" t="n"/>
      <c r="AC250" s="10" t="n"/>
      <c r="AD250" s="10" t="n"/>
      <c r="AE250" s="10" t="n"/>
      <c r="AF250" s="10" t="n"/>
      <c r="AG250" s="13" t="n"/>
    </row>
    <row r="251">
      <c r="A251" s="10" t="n"/>
      <c r="B251" s="11">
        <f>IF($A251="","",IFERROR(INDEX(Products!$B$2:$B$61,MATCH($A251,Products!$A$2:$A$61,0)),"Add to Products"))</f>
        <v/>
      </c>
      <c r="C251" s="11">
        <f>IF($A251="","",IFERROR(INDEX(Products!$C$2:$C$61,MATCH($A251,Products!$A$2:$A$61,0)),"Add to Products"))</f>
        <v/>
      </c>
      <c r="D251" s="11">
        <f>IF($A251="","",IFERROR(INDEX(Products!$D$2:$D$61,MATCH($A251,Products!$A$2:$A$61,0)),"Add to Products"))</f>
        <v/>
      </c>
      <c r="E251" s="11">
        <f>IF($A251="","",IFERROR(INDEX(Products!$E$2:$E$61,MATCH($A251,Products!$A$2:$A$61,0)),"Add to Products"))</f>
        <v/>
      </c>
      <c r="F251" s="11">
        <f>IF($A251="","",IFERROR(INDEX(Products!$F$2:$F$61,MATCH($A251,Products!$A$2:$A$61,0)),"Add to Products"))</f>
        <v/>
      </c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2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3" t="n"/>
      <c r="Y251" s="13" t="n"/>
      <c r="Z251" s="14" t="n"/>
      <c r="AA251" s="10" t="n"/>
      <c r="AB251" s="10" t="n"/>
      <c r="AC251" s="10" t="n"/>
      <c r="AD251" s="10" t="n"/>
      <c r="AE251" s="10" t="n"/>
      <c r="AF251" s="10" t="n"/>
      <c r="AG251" s="13" t="n"/>
    </row>
    <row r="252">
      <c r="A252" s="10" t="n"/>
      <c r="B252" s="11">
        <f>IF($A252="","",IFERROR(INDEX(Products!$B$2:$B$61,MATCH($A252,Products!$A$2:$A$61,0)),"Add to Products"))</f>
        <v/>
      </c>
      <c r="C252" s="11">
        <f>IF($A252="","",IFERROR(INDEX(Products!$C$2:$C$61,MATCH($A252,Products!$A$2:$A$61,0)),"Add to Products"))</f>
        <v/>
      </c>
      <c r="D252" s="11">
        <f>IF($A252="","",IFERROR(INDEX(Products!$D$2:$D$61,MATCH($A252,Products!$A$2:$A$61,0)),"Add to Products"))</f>
        <v/>
      </c>
      <c r="E252" s="11">
        <f>IF($A252="","",IFERROR(INDEX(Products!$E$2:$E$61,MATCH($A252,Products!$A$2:$A$61,0)),"Add to Products"))</f>
        <v/>
      </c>
      <c r="F252" s="11">
        <f>IF($A252="","",IFERROR(INDEX(Products!$F$2:$F$61,MATCH($A252,Products!$A$2:$A$61,0)),"Add to Products"))</f>
        <v/>
      </c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2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3" t="n"/>
      <c r="Y252" s="13" t="n"/>
      <c r="Z252" s="14" t="n"/>
      <c r="AA252" s="10" t="n"/>
      <c r="AB252" s="10" t="n"/>
      <c r="AC252" s="10" t="n"/>
      <c r="AD252" s="10" t="n"/>
      <c r="AE252" s="10" t="n"/>
      <c r="AF252" s="10" t="n"/>
      <c r="AG252" s="13" t="n"/>
    </row>
    <row r="253">
      <c r="A253" s="10" t="n"/>
      <c r="B253" s="11">
        <f>IF($A253="","",IFERROR(INDEX(Products!$B$2:$B$61,MATCH($A253,Products!$A$2:$A$61,0)),"Add to Products"))</f>
        <v/>
      </c>
      <c r="C253" s="11">
        <f>IF($A253="","",IFERROR(INDEX(Products!$C$2:$C$61,MATCH($A253,Products!$A$2:$A$61,0)),"Add to Products"))</f>
        <v/>
      </c>
      <c r="D253" s="11">
        <f>IF($A253="","",IFERROR(INDEX(Products!$D$2:$D$61,MATCH($A253,Products!$A$2:$A$61,0)),"Add to Products"))</f>
        <v/>
      </c>
      <c r="E253" s="11">
        <f>IF($A253="","",IFERROR(INDEX(Products!$E$2:$E$61,MATCH($A253,Products!$A$2:$A$61,0)),"Add to Products"))</f>
        <v/>
      </c>
      <c r="F253" s="11">
        <f>IF($A253="","",IFERROR(INDEX(Products!$F$2:$F$61,MATCH($A253,Products!$A$2:$A$61,0)),"Add to Products"))</f>
        <v/>
      </c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2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3" t="n"/>
      <c r="Y253" s="13" t="n"/>
      <c r="Z253" s="14" t="n"/>
      <c r="AA253" s="10" t="n"/>
      <c r="AB253" s="10" t="n"/>
      <c r="AC253" s="10" t="n"/>
      <c r="AD253" s="10" t="n"/>
      <c r="AE253" s="10" t="n"/>
      <c r="AF253" s="10" t="n"/>
      <c r="AG253" s="13" t="n"/>
    </row>
    <row r="254">
      <c r="A254" s="10" t="n"/>
      <c r="B254" s="11">
        <f>IF($A254="","",IFERROR(INDEX(Products!$B$2:$B$61,MATCH($A254,Products!$A$2:$A$61,0)),"Add to Products"))</f>
        <v/>
      </c>
      <c r="C254" s="11">
        <f>IF($A254="","",IFERROR(INDEX(Products!$C$2:$C$61,MATCH($A254,Products!$A$2:$A$61,0)),"Add to Products"))</f>
        <v/>
      </c>
      <c r="D254" s="11">
        <f>IF($A254="","",IFERROR(INDEX(Products!$D$2:$D$61,MATCH($A254,Products!$A$2:$A$61,0)),"Add to Products"))</f>
        <v/>
      </c>
      <c r="E254" s="11">
        <f>IF($A254="","",IFERROR(INDEX(Products!$E$2:$E$61,MATCH($A254,Products!$A$2:$A$61,0)),"Add to Products"))</f>
        <v/>
      </c>
      <c r="F254" s="11">
        <f>IF($A254="","",IFERROR(INDEX(Products!$F$2:$F$61,MATCH($A254,Products!$A$2:$A$61,0)),"Add to Products"))</f>
        <v/>
      </c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2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3" t="n"/>
      <c r="Y254" s="13" t="n"/>
      <c r="Z254" s="14" t="n"/>
      <c r="AA254" s="10" t="n"/>
      <c r="AB254" s="10" t="n"/>
      <c r="AC254" s="10" t="n"/>
      <c r="AD254" s="10" t="n"/>
      <c r="AE254" s="10" t="n"/>
      <c r="AF254" s="10" t="n"/>
      <c r="AG254" s="13" t="n"/>
    </row>
    <row r="255">
      <c r="A255" s="10" t="n"/>
      <c r="B255" s="11">
        <f>IF($A255="","",IFERROR(INDEX(Products!$B$2:$B$61,MATCH($A255,Products!$A$2:$A$61,0)),"Add to Products"))</f>
        <v/>
      </c>
      <c r="C255" s="11">
        <f>IF($A255="","",IFERROR(INDEX(Products!$C$2:$C$61,MATCH($A255,Products!$A$2:$A$61,0)),"Add to Products"))</f>
        <v/>
      </c>
      <c r="D255" s="11">
        <f>IF($A255="","",IFERROR(INDEX(Products!$D$2:$D$61,MATCH($A255,Products!$A$2:$A$61,0)),"Add to Products"))</f>
        <v/>
      </c>
      <c r="E255" s="11">
        <f>IF($A255="","",IFERROR(INDEX(Products!$E$2:$E$61,MATCH($A255,Products!$A$2:$A$61,0)),"Add to Products"))</f>
        <v/>
      </c>
      <c r="F255" s="11">
        <f>IF($A255="","",IFERROR(INDEX(Products!$F$2:$F$61,MATCH($A255,Products!$A$2:$A$61,0)),"Add to Products"))</f>
        <v/>
      </c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2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3" t="n"/>
      <c r="Y255" s="13" t="n"/>
      <c r="Z255" s="14" t="n"/>
      <c r="AA255" s="10" t="n"/>
      <c r="AB255" s="10" t="n"/>
      <c r="AC255" s="10" t="n"/>
      <c r="AD255" s="10" t="n"/>
      <c r="AE255" s="10" t="n"/>
      <c r="AF255" s="10" t="n"/>
      <c r="AG255" s="13" t="n"/>
    </row>
    <row r="256">
      <c r="A256" s="10" t="n"/>
      <c r="B256" s="11">
        <f>IF($A256="","",IFERROR(INDEX(Products!$B$2:$B$61,MATCH($A256,Products!$A$2:$A$61,0)),"Add to Products"))</f>
        <v/>
      </c>
      <c r="C256" s="11">
        <f>IF($A256="","",IFERROR(INDEX(Products!$C$2:$C$61,MATCH($A256,Products!$A$2:$A$61,0)),"Add to Products"))</f>
        <v/>
      </c>
      <c r="D256" s="11">
        <f>IF($A256="","",IFERROR(INDEX(Products!$D$2:$D$61,MATCH($A256,Products!$A$2:$A$61,0)),"Add to Products"))</f>
        <v/>
      </c>
      <c r="E256" s="11">
        <f>IF($A256="","",IFERROR(INDEX(Products!$E$2:$E$61,MATCH($A256,Products!$A$2:$A$61,0)),"Add to Products"))</f>
        <v/>
      </c>
      <c r="F256" s="11">
        <f>IF($A256="","",IFERROR(INDEX(Products!$F$2:$F$61,MATCH($A256,Products!$A$2:$A$61,0)),"Add to Products"))</f>
        <v/>
      </c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2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3" t="n"/>
      <c r="Y256" s="13" t="n"/>
      <c r="Z256" s="14" t="n"/>
      <c r="AA256" s="10" t="n"/>
      <c r="AB256" s="10" t="n"/>
      <c r="AC256" s="10" t="n"/>
      <c r="AD256" s="10" t="n"/>
      <c r="AE256" s="10" t="n"/>
      <c r="AF256" s="10" t="n"/>
      <c r="AG256" s="13" t="n"/>
    </row>
    <row r="257">
      <c r="A257" s="10" t="n"/>
      <c r="B257" s="11">
        <f>IF($A257="","",IFERROR(INDEX(Products!$B$2:$B$61,MATCH($A257,Products!$A$2:$A$61,0)),"Add to Products"))</f>
        <v/>
      </c>
      <c r="C257" s="11">
        <f>IF($A257="","",IFERROR(INDEX(Products!$C$2:$C$61,MATCH($A257,Products!$A$2:$A$61,0)),"Add to Products"))</f>
        <v/>
      </c>
      <c r="D257" s="11">
        <f>IF($A257="","",IFERROR(INDEX(Products!$D$2:$D$61,MATCH($A257,Products!$A$2:$A$61,0)),"Add to Products"))</f>
        <v/>
      </c>
      <c r="E257" s="11">
        <f>IF($A257="","",IFERROR(INDEX(Products!$E$2:$E$61,MATCH($A257,Products!$A$2:$A$61,0)),"Add to Products"))</f>
        <v/>
      </c>
      <c r="F257" s="11">
        <f>IF($A257="","",IFERROR(INDEX(Products!$F$2:$F$61,MATCH($A257,Products!$A$2:$A$61,0)),"Add to Products"))</f>
        <v/>
      </c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2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3" t="n"/>
      <c r="Y257" s="13" t="n"/>
      <c r="Z257" s="14" t="n"/>
      <c r="AA257" s="10" t="n"/>
      <c r="AB257" s="10" t="n"/>
      <c r="AC257" s="10" t="n"/>
      <c r="AD257" s="10" t="n"/>
      <c r="AE257" s="10" t="n"/>
      <c r="AF257" s="10" t="n"/>
      <c r="AG257" s="13" t="n"/>
    </row>
    <row r="258">
      <c r="A258" s="10" t="n"/>
      <c r="B258" s="11">
        <f>IF($A258="","",IFERROR(INDEX(Products!$B$2:$B$61,MATCH($A258,Products!$A$2:$A$61,0)),"Add to Products"))</f>
        <v/>
      </c>
      <c r="C258" s="11">
        <f>IF($A258="","",IFERROR(INDEX(Products!$C$2:$C$61,MATCH($A258,Products!$A$2:$A$61,0)),"Add to Products"))</f>
        <v/>
      </c>
      <c r="D258" s="11">
        <f>IF($A258="","",IFERROR(INDEX(Products!$D$2:$D$61,MATCH($A258,Products!$A$2:$A$61,0)),"Add to Products"))</f>
        <v/>
      </c>
      <c r="E258" s="11">
        <f>IF($A258="","",IFERROR(INDEX(Products!$E$2:$E$61,MATCH($A258,Products!$A$2:$A$61,0)),"Add to Products"))</f>
        <v/>
      </c>
      <c r="F258" s="11">
        <f>IF($A258="","",IFERROR(INDEX(Products!$F$2:$F$61,MATCH($A258,Products!$A$2:$A$61,0)),"Add to Products"))</f>
        <v/>
      </c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2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3" t="n"/>
      <c r="Y258" s="13" t="n"/>
      <c r="Z258" s="14" t="n"/>
      <c r="AA258" s="10" t="n"/>
      <c r="AB258" s="10" t="n"/>
      <c r="AC258" s="10" t="n"/>
      <c r="AD258" s="10" t="n"/>
      <c r="AE258" s="10" t="n"/>
      <c r="AF258" s="10" t="n"/>
      <c r="AG258" s="13" t="n"/>
    </row>
    <row r="259">
      <c r="A259" s="10" t="n"/>
      <c r="B259" s="11">
        <f>IF($A259="","",IFERROR(INDEX(Products!$B$2:$B$61,MATCH($A259,Products!$A$2:$A$61,0)),"Add to Products"))</f>
        <v/>
      </c>
      <c r="C259" s="11">
        <f>IF($A259="","",IFERROR(INDEX(Products!$C$2:$C$61,MATCH($A259,Products!$A$2:$A$61,0)),"Add to Products"))</f>
        <v/>
      </c>
      <c r="D259" s="11">
        <f>IF($A259="","",IFERROR(INDEX(Products!$D$2:$D$61,MATCH($A259,Products!$A$2:$A$61,0)),"Add to Products"))</f>
        <v/>
      </c>
      <c r="E259" s="11">
        <f>IF($A259="","",IFERROR(INDEX(Products!$E$2:$E$61,MATCH($A259,Products!$A$2:$A$61,0)),"Add to Products"))</f>
        <v/>
      </c>
      <c r="F259" s="11">
        <f>IF($A259="","",IFERROR(INDEX(Products!$F$2:$F$61,MATCH($A259,Products!$A$2:$A$61,0)),"Add to Products"))</f>
        <v/>
      </c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2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3" t="n"/>
      <c r="Y259" s="13" t="n"/>
      <c r="Z259" s="14" t="n"/>
      <c r="AA259" s="10" t="n"/>
      <c r="AB259" s="10" t="n"/>
      <c r="AC259" s="10" t="n"/>
      <c r="AD259" s="10" t="n"/>
      <c r="AE259" s="10" t="n"/>
      <c r="AF259" s="10" t="n"/>
      <c r="AG259" s="13" t="n"/>
    </row>
    <row r="260">
      <c r="A260" s="10" t="n"/>
      <c r="B260" s="11">
        <f>IF($A260="","",IFERROR(INDEX(Products!$B$2:$B$61,MATCH($A260,Products!$A$2:$A$61,0)),"Add to Products"))</f>
        <v/>
      </c>
      <c r="C260" s="11">
        <f>IF($A260="","",IFERROR(INDEX(Products!$C$2:$C$61,MATCH($A260,Products!$A$2:$A$61,0)),"Add to Products"))</f>
        <v/>
      </c>
      <c r="D260" s="11">
        <f>IF($A260="","",IFERROR(INDEX(Products!$D$2:$D$61,MATCH($A260,Products!$A$2:$A$61,0)),"Add to Products"))</f>
        <v/>
      </c>
      <c r="E260" s="11">
        <f>IF($A260="","",IFERROR(INDEX(Products!$E$2:$E$61,MATCH($A260,Products!$A$2:$A$61,0)),"Add to Products"))</f>
        <v/>
      </c>
      <c r="F260" s="11">
        <f>IF($A260="","",IFERROR(INDEX(Products!$F$2:$F$61,MATCH($A260,Products!$A$2:$A$61,0)),"Add to Products"))</f>
        <v/>
      </c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2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3" t="n"/>
      <c r="Y260" s="13" t="n"/>
      <c r="Z260" s="14" t="n"/>
      <c r="AA260" s="10" t="n"/>
      <c r="AB260" s="10" t="n"/>
      <c r="AC260" s="10" t="n"/>
      <c r="AD260" s="10" t="n"/>
      <c r="AE260" s="10" t="n"/>
      <c r="AF260" s="10" t="n"/>
      <c r="AG260" s="13" t="n"/>
    </row>
    <row r="261">
      <c r="A261" s="10" t="n"/>
      <c r="B261" s="11">
        <f>IF($A261="","",IFERROR(INDEX(Products!$B$2:$B$61,MATCH($A261,Products!$A$2:$A$61,0)),"Add to Products"))</f>
        <v/>
      </c>
      <c r="C261" s="11">
        <f>IF($A261="","",IFERROR(INDEX(Products!$C$2:$C$61,MATCH($A261,Products!$A$2:$A$61,0)),"Add to Products"))</f>
        <v/>
      </c>
      <c r="D261" s="11">
        <f>IF($A261="","",IFERROR(INDEX(Products!$D$2:$D$61,MATCH($A261,Products!$A$2:$A$61,0)),"Add to Products"))</f>
        <v/>
      </c>
      <c r="E261" s="11">
        <f>IF($A261="","",IFERROR(INDEX(Products!$E$2:$E$61,MATCH($A261,Products!$A$2:$A$61,0)),"Add to Products"))</f>
        <v/>
      </c>
      <c r="F261" s="11">
        <f>IF($A261="","",IFERROR(INDEX(Products!$F$2:$F$61,MATCH($A261,Products!$A$2:$A$61,0)),"Add to Products"))</f>
        <v/>
      </c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2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3" t="n"/>
      <c r="Y261" s="13" t="n"/>
      <c r="Z261" s="14" t="n"/>
      <c r="AA261" s="10" t="n"/>
      <c r="AB261" s="10" t="n"/>
      <c r="AC261" s="10" t="n"/>
      <c r="AD261" s="10" t="n"/>
      <c r="AE261" s="10" t="n"/>
      <c r="AF261" s="10" t="n"/>
      <c r="AG261" s="13" t="n"/>
    </row>
    <row r="262">
      <c r="A262" s="10" t="n"/>
      <c r="B262" s="11">
        <f>IF($A262="","",IFERROR(INDEX(Products!$B$2:$B$61,MATCH($A262,Products!$A$2:$A$61,0)),"Add to Products"))</f>
        <v/>
      </c>
      <c r="C262" s="11">
        <f>IF($A262="","",IFERROR(INDEX(Products!$C$2:$C$61,MATCH($A262,Products!$A$2:$A$61,0)),"Add to Products"))</f>
        <v/>
      </c>
      <c r="D262" s="11">
        <f>IF($A262="","",IFERROR(INDEX(Products!$D$2:$D$61,MATCH($A262,Products!$A$2:$A$61,0)),"Add to Products"))</f>
        <v/>
      </c>
      <c r="E262" s="11">
        <f>IF($A262="","",IFERROR(INDEX(Products!$E$2:$E$61,MATCH($A262,Products!$A$2:$A$61,0)),"Add to Products"))</f>
        <v/>
      </c>
      <c r="F262" s="11">
        <f>IF($A262="","",IFERROR(INDEX(Products!$F$2:$F$61,MATCH($A262,Products!$A$2:$A$61,0)),"Add to Products"))</f>
        <v/>
      </c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2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3" t="n"/>
      <c r="Y262" s="13" t="n"/>
      <c r="Z262" s="14" t="n"/>
      <c r="AA262" s="10" t="n"/>
      <c r="AB262" s="10" t="n"/>
      <c r="AC262" s="10" t="n"/>
      <c r="AD262" s="10" t="n"/>
      <c r="AE262" s="10" t="n"/>
      <c r="AF262" s="10" t="n"/>
      <c r="AG262" s="13" t="n"/>
    </row>
    <row r="263">
      <c r="A263" s="10" t="n"/>
      <c r="B263" s="11">
        <f>IF($A263="","",IFERROR(INDEX(Products!$B$2:$B$61,MATCH($A263,Products!$A$2:$A$61,0)),"Add to Products"))</f>
        <v/>
      </c>
      <c r="C263" s="11">
        <f>IF($A263="","",IFERROR(INDEX(Products!$C$2:$C$61,MATCH($A263,Products!$A$2:$A$61,0)),"Add to Products"))</f>
        <v/>
      </c>
      <c r="D263" s="11">
        <f>IF($A263="","",IFERROR(INDEX(Products!$D$2:$D$61,MATCH($A263,Products!$A$2:$A$61,0)),"Add to Products"))</f>
        <v/>
      </c>
      <c r="E263" s="11">
        <f>IF($A263="","",IFERROR(INDEX(Products!$E$2:$E$61,MATCH($A263,Products!$A$2:$A$61,0)),"Add to Products"))</f>
        <v/>
      </c>
      <c r="F263" s="11">
        <f>IF($A263="","",IFERROR(INDEX(Products!$F$2:$F$61,MATCH($A263,Products!$A$2:$A$61,0)),"Add to Products"))</f>
        <v/>
      </c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2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3" t="n"/>
      <c r="Y263" s="13" t="n"/>
      <c r="Z263" s="14" t="n"/>
      <c r="AA263" s="10" t="n"/>
      <c r="AB263" s="10" t="n"/>
      <c r="AC263" s="10" t="n"/>
      <c r="AD263" s="10" t="n"/>
      <c r="AE263" s="10" t="n"/>
      <c r="AF263" s="10" t="n"/>
      <c r="AG263" s="13" t="n"/>
    </row>
    <row r="264">
      <c r="A264" s="10" t="n"/>
      <c r="B264" s="11">
        <f>IF($A264="","",IFERROR(INDEX(Products!$B$2:$B$61,MATCH($A264,Products!$A$2:$A$61,0)),"Add to Products"))</f>
        <v/>
      </c>
      <c r="C264" s="11">
        <f>IF($A264="","",IFERROR(INDEX(Products!$C$2:$C$61,MATCH($A264,Products!$A$2:$A$61,0)),"Add to Products"))</f>
        <v/>
      </c>
      <c r="D264" s="11">
        <f>IF($A264="","",IFERROR(INDEX(Products!$D$2:$D$61,MATCH($A264,Products!$A$2:$A$61,0)),"Add to Products"))</f>
        <v/>
      </c>
      <c r="E264" s="11">
        <f>IF($A264="","",IFERROR(INDEX(Products!$E$2:$E$61,MATCH($A264,Products!$A$2:$A$61,0)),"Add to Products"))</f>
        <v/>
      </c>
      <c r="F264" s="11">
        <f>IF($A264="","",IFERROR(INDEX(Products!$F$2:$F$61,MATCH($A264,Products!$A$2:$A$61,0)),"Add to Products"))</f>
        <v/>
      </c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2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3" t="n"/>
      <c r="Y264" s="13" t="n"/>
      <c r="Z264" s="14" t="n"/>
      <c r="AA264" s="10" t="n"/>
      <c r="AB264" s="10" t="n"/>
      <c r="AC264" s="10" t="n"/>
      <c r="AD264" s="10" t="n"/>
      <c r="AE264" s="10" t="n"/>
      <c r="AF264" s="10" t="n"/>
      <c r="AG264" s="13" t="n"/>
    </row>
    <row r="265">
      <c r="A265" s="10" t="n"/>
      <c r="B265" s="11">
        <f>IF($A265="","",IFERROR(INDEX(Products!$B$2:$B$61,MATCH($A265,Products!$A$2:$A$61,0)),"Add to Products"))</f>
        <v/>
      </c>
      <c r="C265" s="11">
        <f>IF($A265="","",IFERROR(INDEX(Products!$C$2:$C$61,MATCH($A265,Products!$A$2:$A$61,0)),"Add to Products"))</f>
        <v/>
      </c>
      <c r="D265" s="11">
        <f>IF($A265="","",IFERROR(INDEX(Products!$D$2:$D$61,MATCH($A265,Products!$A$2:$A$61,0)),"Add to Products"))</f>
        <v/>
      </c>
      <c r="E265" s="11">
        <f>IF($A265="","",IFERROR(INDEX(Products!$E$2:$E$61,MATCH($A265,Products!$A$2:$A$61,0)),"Add to Products"))</f>
        <v/>
      </c>
      <c r="F265" s="11">
        <f>IF($A265="","",IFERROR(INDEX(Products!$F$2:$F$61,MATCH($A265,Products!$A$2:$A$61,0)),"Add to Products"))</f>
        <v/>
      </c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2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3" t="n"/>
      <c r="Y265" s="13" t="n"/>
      <c r="Z265" s="14" t="n"/>
      <c r="AA265" s="10" t="n"/>
      <c r="AB265" s="10" t="n"/>
      <c r="AC265" s="10" t="n"/>
      <c r="AD265" s="10" t="n"/>
      <c r="AE265" s="10" t="n"/>
      <c r="AF265" s="10" t="n"/>
      <c r="AG265" s="13" t="n"/>
    </row>
    <row r="266">
      <c r="A266" s="10" t="n"/>
      <c r="B266" s="11">
        <f>IF($A266="","",IFERROR(INDEX(Products!$B$2:$B$61,MATCH($A266,Products!$A$2:$A$61,0)),"Add to Products"))</f>
        <v/>
      </c>
      <c r="C266" s="11">
        <f>IF($A266="","",IFERROR(INDEX(Products!$C$2:$C$61,MATCH($A266,Products!$A$2:$A$61,0)),"Add to Products"))</f>
        <v/>
      </c>
      <c r="D266" s="11">
        <f>IF($A266="","",IFERROR(INDEX(Products!$D$2:$D$61,MATCH($A266,Products!$A$2:$A$61,0)),"Add to Products"))</f>
        <v/>
      </c>
      <c r="E266" s="11">
        <f>IF($A266="","",IFERROR(INDEX(Products!$E$2:$E$61,MATCH($A266,Products!$A$2:$A$61,0)),"Add to Products"))</f>
        <v/>
      </c>
      <c r="F266" s="11">
        <f>IF($A266="","",IFERROR(INDEX(Products!$F$2:$F$61,MATCH($A266,Products!$A$2:$A$61,0)),"Add to Products"))</f>
        <v/>
      </c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2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3" t="n"/>
      <c r="Y266" s="13" t="n"/>
      <c r="Z266" s="14" t="n"/>
      <c r="AA266" s="10" t="n"/>
      <c r="AB266" s="10" t="n"/>
      <c r="AC266" s="10" t="n"/>
      <c r="AD266" s="10" t="n"/>
      <c r="AE266" s="10" t="n"/>
      <c r="AF266" s="10" t="n"/>
      <c r="AG266" s="13" t="n"/>
    </row>
    <row r="267">
      <c r="A267" s="10" t="n"/>
      <c r="B267" s="11">
        <f>IF($A267="","",IFERROR(INDEX(Products!$B$2:$B$61,MATCH($A267,Products!$A$2:$A$61,0)),"Add to Products"))</f>
        <v/>
      </c>
      <c r="C267" s="11">
        <f>IF($A267="","",IFERROR(INDEX(Products!$C$2:$C$61,MATCH($A267,Products!$A$2:$A$61,0)),"Add to Products"))</f>
        <v/>
      </c>
      <c r="D267" s="11">
        <f>IF($A267="","",IFERROR(INDEX(Products!$D$2:$D$61,MATCH($A267,Products!$A$2:$A$61,0)),"Add to Products"))</f>
        <v/>
      </c>
      <c r="E267" s="11">
        <f>IF($A267="","",IFERROR(INDEX(Products!$E$2:$E$61,MATCH($A267,Products!$A$2:$A$61,0)),"Add to Products"))</f>
        <v/>
      </c>
      <c r="F267" s="11">
        <f>IF($A267="","",IFERROR(INDEX(Products!$F$2:$F$61,MATCH($A267,Products!$A$2:$A$61,0)),"Add to Products"))</f>
        <v/>
      </c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2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3" t="n"/>
      <c r="Y267" s="13" t="n"/>
      <c r="Z267" s="14" t="n"/>
      <c r="AA267" s="10" t="n"/>
      <c r="AB267" s="10" t="n"/>
      <c r="AC267" s="10" t="n"/>
      <c r="AD267" s="10" t="n"/>
      <c r="AE267" s="10" t="n"/>
      <c r="AF267" s="10" t="n"/>
      <c r="AG267" s="13" t="n"/>
    </row>
    <row r="268">
      <c r="A268" s="10" t="n"/>
      <c r="B268" s="11">
        <f>IF($A268="","",IFERROR(INDEX(Products!$B$2:$B$61,MATCH($A268,Products!$A$2:$A$61,0)),"Add to Products"))</f>
        <v/>
      </c>
      <c r="C268" s="11">
        <f>IF($A268="","",IFERROR(INDEX(Products!$C$2:$C$61,MATCH($A268,Products!$A$2:$A$61,0)),"Add to Products"))</f>
        <v/>
      </c>
      <c r="D268" s="11">
        <f>IF($A268="","",IFERROR(INDEX(Products!$D$2:$D$61,MATCH($A268,Products!$A$2:$A$61,0)),"Add to Products"))</f>
        <v/>
      </c>
      <c r="E268" s="11">
        <f>IF($A268="","",IFERROR(INDEX(Products!$E$2:$E$61,MATCH($A268,Products!$A$2:$A$61,0)),"Add to Products"))</f>
        <v/>
      </c>
      <c r="F268" s="11">
        <f>IF($A268="","",IFERROR(INDEX(Products!$F$2:$F$61,MATCH($A268,Products!$A$2:$A$61,0)),"Add to Products"))</f>
        <v/>
      </c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2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3" t="n"/>
      <c r="Y268" s="13" t="n"/>
      <c r="Z268" s="14" t="n"/>
      <c r="AA268" s="10" t="n"/>
      <c r="AB268" s="10" t="n"/>
      <c r="AC268" s="10" t="n"/>
      <c r="AD268" s="10" t="n"/>
      <c r="AE268" s="10" t="n"/>
      <c r="AF268" s="10" t="n"/>
      <c r="AG268" s="13" t="n"/>
    </row>
    <row r="269">
      <c r="A269" s="10" t="n"/>
      <c r="B269" s="11">
        <f>IF($A269="","",IFERROR(INDEX(Products!$B$2:$B$61,MATCH($A269,Products!$A$2:$A$61,0)),"Add to Products"))</f>
        <v/>
      </c>
      <c r="C269" s="11">
        <f>IF($A269="","",IFERROR(INDEX(Products!$C$2:$C$61,MATCH($A269,Products!$A$2:$A$61,0)),"Add to Products"))</f>
        <v/>
      </c>
      <c r="D269" s="11">
        <f>IF($A269="","",IFERROR(INDEX(Products!$D$2:$D$61,MATCH($A269,Products!$A$2:$A$61,0)),"Add to Products"))</f>
        <v/>
      </c>
      <c r="E269" s="11">
        <f>IF($A269="","",IFERROR(INDEX(Products!$E$2:$E$61,MATCH($A269,Products!$A$2:$A$61,0)),"Add to Products"))</f>
        <v/>
      </c>
      <c r="F269" s="11">
        <f>IF($A269="","",IFERROR(INDEX(Products!$F$2:$F$61,MATCH($A269,Products!$A$2:$A$61,0)),"Add to Products"))</f>
        <v/>
      </c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2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3" t="n"/>
      <c r="Y269" s="13" t="n"/>
      <c r="Z269" s="14" t="n"/>
      <c r="AA269" s="10" t="n"/>
      <c r="AB269" s="10" t="n"/>
      <c r="AC269" s="10" t="n"/>
      <c r="AD269" s="10" t="n"/>
      <c r="AE269" s="10" t="n"/>
      <c r="AF269" s="10" t="n"/>
      <c r="AG269" s="13" t="n"/>
    </row>
    <row r="270">
      <c r="A270" s="10" t="n"/>
      <c r="B270" s="11">
        <f>IF($A270="","",IFERROR(INDEX(Products!$B$2:$B$61,MATCH($A270,Products!$A$2:$A$61,0)),"Add to Products"))</f>
        <v/>
      </c>
      <c r="C270" s="11">
        <f>IF($A270="","",IFERROR(INDEX(Products!$C$2:$C$61,MATCH($A270,Products!$A$2:$A$61,0)),"Add to Products"))</f>
        <v/>
      </c>
      <c r="D270" s="11">
        <f>IF($A270="","",IFERROR(INDEX(Products!$D$2:$D$61,MATCH($A270,Products!$A$2:$A$61,0)),"Add to Products"))</f>
        <v/>
      </c>
      <c r="E270" s="11">
        <f>IF($A270="","",IFERROR(INDEX(Products!$E$2:$E$61,MATCH($A270,Products!$A$2:$A$61,0)),"Add to Products"))</f>
        <v/>
      </c>
      <c r="F270" s="11">
        <f>IF($A270="","",IFERROR(INDEX(Products!$F$2:$F$61,MATCH($A270,Products!$A$2:$A$61,0)),"Add to Products"))</f>
        <v/>
      </c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2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3" t="n"/>
      <c r="Y270" s="13" t="n"/>
      <c r="Z270" s="14" t="n"/>
      <c r="AA270" s="10" t="n"/>
      <c r="AB270" s="10" t="n"/>
      <c r="AC270" s="10" t="n"/>
      <c r="AD270" s="10" t="n"/>
      <c r="AE270" s="10" t="n"/>
      <c r="AF270" s="10" t="n"/>
      <c r="AG270" s="13" t="n"/>
    </row>
    <row r="271">
      <c r="A271" s="10" t="n"/>
      <c r="B271" s="11">
        <f>IF($A271="","",IFERROR(INDEX(Products!$B$2:$B$61,MATCH($A271,Products!$A$2:$A$61,0)),"Add to Products"))</f>
        <v/>
      </c>
      <c r="C271" s="11">
        <f>IF($A271="","",IFERROR(INDEX(Products!$C$2:$C$61,MATCH($A271,Products!$A$2:$A$61,0)),"Add to Products"))</f>
        <v/>
      </c>
      <c r="D271" s="11">
        <f>IF($A271="","",IFERROR(INDEX(Products!$D$2:$D$61,MATCH($A271,Products!$A$2:$A$61,0)),"Add to Products"))</f>
        <v/>
      </c>
      <c r="E271" s="11">
        <f>IF($A271="","",IFERROR(INDEX(Products!$E$2:$E$61,MATCH($A271,Products!$A$2:$A$61,0)),"Add to Products"))</f>
        <v/>
      </c>
      <c r="F271" s="11">
        <f>IF($A271="","",IFERROR(INDEX(Products!$F$2:$F$61,MATCH($A271,Products!$A$2:$A$61,0)),"Add to Products"))</f>
        <v/>
      </c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2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3" t="n"/>
      <c r="Y271" s="13" t="n"/>
      <c r="Z271" s="14" t="n"/>
      <c r="AA271" s="10" t="n"/>
      <c r="AB271" s="10" t="n"/>
      <c r="AC271" s="10" t="n"/>
      <c r="AD271" s="10" t="n"/>
      <c r="AE271" s="10" t="n"/>
      <c r="AF271" s="10" t="n"/>
      <c r="AG271" s="13" t="n"/>
    </row>
    <row r="272">
      <c r="A272" s="10" t="n"/>
      <c r="B272" s="11">
        <f>IF($A272="","",IFERROR(INDEX(Products!$B$2:$B$61,MATCH($A272,Products!$A$2:$A$61,0)),"Add to Products"))</f>
        <v/>
      </c>
      <c r="C272" s="11">
        <f>IF($A272="","",IFERROR(INDEX(Products!$C$2:$C$61,MATCH($A272,Products!$A$2:$A$61,0)),"Add to Products"))</f>
        <v/>
      </c>
      <c r="D272" s="11">
        <f>IF($A272="","",IFERROR(INDEX(Products!$D$2:$D$61,MATCH($A272,Products!$A$2:$A$61,0)),"Add to Products"))</f>
        <v/>
      </c>
      <c r="E272" s="11">
        <f>IF($A272="","",IFERROR(INDEX(Products!$E$2:$E$61,MATCH($A272,Products!$A$2:$A$61,0)),"Add to Products"))</f>
        <v/>
      </c>
      <c r="F272" s="11">
        <f>IF($A272="","",IFERROR(INDEX(Products!$F$2:$F$61,MATCH($A272,Products!$A$2:$A$61,0)),"Add to Products"))</f>
        <v/>
      </c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2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3" t="n"/>
      <c r="Y272" s="13" t="n"/>
      <c r="Z272" s="14" t="n"/>
      <c r="AA272" s="10" t="n"/>
      <c r="AB272" s="10" t="n"/>
      <c r="AC272" s="10" t="n"/>
      <c r="AD272" s="10" t="n"/>
      <c r="AE272" s="10" t="n"/>
      <c r="AF272" s="10" t="n"/>
      <c r="AG272" s="13" t="n"/>
    </row>
    <row r="273">
      <c r="A273" s="10" t="n"/>
      <c r="B273" s="11">
        <f>IF($A273="","",IFERROR(INDEX(Products!$B$2:$B$61,MATCH($A273,Products!$A$2:$A$61,0)),"Add to Products"))</f>
        <v/>
      </c>
      <c r="C273" s="11">
        <f>IF($A273="","",IFERROR(INDEX(Products!$C$2:$C$61,MATCH($A273,Products!$A$2:$A$61,0)),"Add to Products"))</f>
        <v/>
      </c>
      <c r="D273" s="11">
        <f>IF($A273="","",IFERROR(INDEX(Products!$D$2:$D$61,MATCH($A273,Products!$A$2:$A$61,0)),"Add to Products"))</f>
        <v/>
      </c>
      <c r="E273" s="11">
        <f>IF($A273="","",IFERROR(INDEX(Products!$E$2:$E$61,MATCH($A273,Products!$A$2:$A$61,0)),"Add to Products"))</f>
        <v/>
      </c>
      <c r="F273" s="11">
        <f>IF($A273="","",IFERROR(INDEX(Products!$F$2:$F$61,MATCH($A273,Products!$A$2:$A$61,0)),"Add to Products"))</f>
        <v/>
      </c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2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3" t="n"/>
      <c r="Y273" s="13" t="n"/>
      <c r="Z273" s="14" t="n"/>
      <c r="AA273" s="10" t="n"/>
      <c r="AB273" s="10" t="n"/>
      <c r="AC273" s="10" t="n"/>
      <c r="AD273" s="10" t="n"/>
      <c r="AE273" s="10" t="n"/>
      <c r="AF273" s="10" t="n"/>
      <c r="AG273" s="13" t="n"/>
    </row>
    <row r="274">
      <c r="A274" s="10" t="n"/>
      <c r="B274" s="11">
        <f>IF($A274="","",IFERROR(INDEX(Products!$B$2:$B$61,MATCH($A274,Products!$A$2:$A$61,0)),"Add to Products"))</f>
        <v/>
      </c>
      <c r="C274" s="11">
        <f>IF($A274="","",IFERROR(INDEX(Products!$C$2:$C$61,MATCH($A274,Products!$A$2:$A$61,0)),"Add to Products"))</f>
        <v/>
      </c>
      <c r="D274" s="11">
        <f>IF($A274="","",IFERROR(INDEX(Products!$D$2:$D$61,MATCH($A274,Products!$A$2:$A$61,0)),"Add to Products"))</f>
        <v/>
      </c>
      <c r="E274" s="11">
        <f>IF($A274="","",IFERROR(INDEX(Products!$E$2:$E$61,MATCH($A274,Products!$A$2:$A$61,0)),"Add to Products"))</f>
        <v/>
      </c>
      <c r="F274" s="11">
        <f>IF($A274="","",IFERROR(INDEX(Products!$F$2:$F$61,MATCH($A274,Products!$A$2:$A$61,0)),"Add to Products"))</f>
        <v/>
      </c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2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3" t="n"/>
      <c r="Y274" s="13" t="n"/>
      <c r="Z274" s="14" t="n"/>
      <c r="AA274" s="10" t="n"/>
      <c r="AB274" s="10" t="n"/>
      <c r="AC274" s="10" t="n"/>
      <c r="AD274" s="10" t="n"/>
      <c r="AE274" s="10" t="n"/>
      <c r="AF274" s="10" t="n"/>
      <c r="AG274" s="13" t="n"/>
    </row>
    <row r="275">
      <c r="A275" s="10" t="n"/>
      <c r="B275" s="11">
        <f>IF($A275="","",IFERROR(INDEX(Products!$B$2:$B$61,MATCH($A275,Products!$A$2:$A$61,0)),"Add to Products"))</f>
        <v/>
      </c>
      <c r="C275" s="11">
        <f>IF($A275="","",IFERROR(INDEX(Products!$C$2:$C$61,MATCH($A275,Products!$A$2:$A$61,0)),"Add to Products"))</f>
        <v/>
      </c>
      <c r="D275" s="11">
        <f>IF($A275="","",IFERROR(INDEX(Products!$D$2:$D$61,MATCH($A275,Products!$A$2:$A$61,0)),"Add to Products"))</f>
        <v/>
      </c>
      <c r="E275" s="11">
        <f>IF($A275="","",IFERROR(INDEX(Products!$E$2:$E$61,MATCH($A275,Products!$A$2:$A$61,0)),"Add to Products"))</f>
        <v/>
      </c>
      <c r="F275" s="11">
        <f>IF($A275="","",IFERROR(INDEX(Products!$F$2:$F$61,MATCH($A275,Products!$A$2:$A$61,0)),"Add to Products"))</f>
        <v/>
      </c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2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3" t="n"/>
      <c r="Y275" s="13" t="n"/>
      <c r="Z275" s="14" t="n"/>
      <c r="AA275" s="10" t="n"/>
      <c r="AB275" s="10" t="n"/>
      <c r="AC275" s="10" t="n"/>
      <c r="AD275" s="10" t="n"/>
      <c r="AE275" s="10" t="n"/>
      <c r="AF275" s="10" t="n"/>
      <c r="AG275" s="13" t="n"/>
    </row>
    <row r="276">
      <c r="A276" s="10" t="n"/>
      <c r="B276" s="11">
        <f>IF($A276="","",IFERROR(INDEX(Products!$B$2:$B$61,MATCH($A276,Products!$A$2:$A$61,0)),"Add to Products"))</f>
        <v/>
      </c>
      <c r="C276" s="11">
        <f>IF($A276="","",IFERROR(INDEX(Products!$C$2:$C$61,MATCH($A276,Products!$A$2:$A$61,0)),"Add to Products"))</f>
        <v/>
      </c>
      <c r="D276" s="11">
        <f>IF($A276="","",IFERROR(INDEX(Products!$D$2:$D$61,MATCH($A276,Products!$A$2:$A$61,0)),"Add to Products"))</f>
        <v/>
      </c>
      <c r="E276" s="11">
        <f>IF($A276="","",IFERROR(INDEX(Products!$E$2:$E$61,MATCH($A276,Products!$A$2:$A$61,0)),"Add to Products"))</f>
        <v/>
      </c>
      <c r="F276" s="11">
        <f>IF($A276="","",IFERROR(INDEX(Products!$F$2:$F$61,MATCH($A276,Products!$A$2:$A$61,0)),"Add to Products"))</f>
        <v/>
      </c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2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3" t="n"/>
      <c r="Y276" s="13" t="n"/>
      <c r="Z276" s="14" t="n"/>
      <c r="AA276" s="10" t="n"/>
      <c r="AB276" s="10" t="n"/>
      <c r="AC276" s="10" t="n"/>
      <c r="AD276" s="10" t="n"/>
      <c r="AE276" s="10" t="n"/>
      <c r="AF276" s="10" t="n"/>
      <c r="AG276" s="13" t="n"/>
    </row>
    <row r="277">
      <c r="A277" s="10" t="n"/>
      <c r="B277" s="11">
        <f>IF($A277="","",IFERROR(INDEX(Products!$B$2:$B$61,MATCH($A277,Products!$A$2:$A$61,0)),"Add to Products"))</f>
        <v/>
      </c>
      <c r="C277" s="11">
        <f>IF($A277="","",IFERROR(INDEX(Products!$C$2:$C$61,MATCH($A277,Products!$A$2:$A$61,0)),"Add to Products"))</f>
        <v/>
      </c>
      <c r="D277" s="11">
        <f>IF($A277="","",IFERROR(INDEX(Products!$D$2:$D$61,MATCH($A277,Products!$A$2:$A$61,0)),"Add to Products"))</f>
        <v/>
      </c>
      <c r="E277" s="11">
        <f>IF($A277="","",IFERROR(INDEX(Products!$E$2:$E$61,MATCH($A277,Products!$A$2:$A$61,0)),"Add to Products"))</f>
        <v/>
      </c>
      <c r="F277" s="11">
        <f>IF($A277="","",IFERROR(INDEX(Products!$F$2:$F$61,MATCH($A277,Products!$A$2:$A$61,0)),"Add to Products"))</f>
        <v/>
      </c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2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3" t="n"/>
      <c r="Y277" s="13" t="n"/>
      <c r="Z277" s="14" t="n"/>
      <c r="AA277" s="10" t="n"/>
      <c r="AB277" s="10" t="n"/>
      <c r="AC277" s="10" t="n"/>
      <c r="AD277" s="10" t="n"/>
      <c r="AE277" s="10" t="n"/>
      <c r="AF277" s="10" t="n"/>
      <c r="AG277" s="13" t="n"/>
    </row>
    <row r="278">
      <c r="A278" s="10" t="n"/>
      <c r="B278" s="11">
        <f>IF($A278="","",IFERROR(INDEX(Products!$B$2:$B$61,MATCH($A278,Products!$A$2:$A$61,0)),"Add to Products"))</f>
        <v/>
      </c>
      <c r="C278" s="11">
        <f>IF($A278="","",IFERROR(INDEX(Products!$C$2:$C$61,MATCH($A278,Products!$A$2:$A$61,0)),"Add to Products"))</f>
        <v/>
      </c>
      <c r="D278" s="11">
        <f>IF($A278="","",IFERROR(INDEX(Products!$D$2:$D$61,MATCH($A278,Products!$A$2:$A$61,0)),"Add to Products"))</f>
        <v/>
      </c>
      <c r="E278" s="11">
        <f>IF($A278="","",IFERROR(INDEX(Products!$E$2:$E$61,MATCH($A278,Products!$A$2:$A$61,0)),"Add to Products"))</f>
        <v/>
      </c>
      <c r="F278" s="11">
        <f>IF($A278="","",IFERROR(INDEX(Products!$F$2:$F$61,MATCH($A278,Products!$A$2:$A$61,0)),"Add to Products"))</f>
        <v/>
      </c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2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3" t="n"/>
      <c r="Y278" s="13" t="n"/>
      <c r="Z278" s="14" t="n"/>
      <c r="AA278" s="10" t="n"/>
      <c r="AB278" s="10" t="n"/>
      <c r="AC278" s="10" t="n"/>
      <c r="AD278" s="10" t="n"/>
      <c r="AE278" s="10" t="n"/>
      <c r="AF278" s="10" t="n"/>
      <c r="AG278" s="13" t="n"/>
    </row>
    <row r="279">
      <c r="A279" s="10" t="n"/>
      <c r="B279" s="11">
        <f>IF($A279="","",IFERROR(INDEX(Products!$B$2:$B$61,MATCH($A279,Products!$A$2:$A$61,0)),"Add to Products"))</f>
        <v/>
      </c>
      <c r="C279" s="11">
        <f>IF($A279="","",IFERROR(INDEX(Products!$C$2:$C$61,MATCH($A279,Products!$A$2:$A$61,0)),"Add to Products"))</f>
        <v/>
      </c>
      <c r="D279" s="11">
        <f>IF($A279="","",IFERROR(INDEX(Products!$D$2:$D$61,MATCH($A279,Products!$A$2:$A$61,0)),"Add to Products"))</f>
        <v/>
      </c>
      <c r="E279" s="11">
        <f>IF($A279="","",IFERROR(INDEX(Products!$E$2:$E$61,MATCH($A279,Products!$A$2:$A$61,0)),"Add to Products"))</f>
        <v/>
      </c>
      <c r="F279" s="11">
        <f>IF($A279="","",IFERROR(INDEX(Products!$F$2:$F$61,MATCH($A279,Products!$A$2:$A$61,0)),"Add to Products"))</f>
        <v/>
      </c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2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3" t="n"/>
      <c r="Y279" s="13" t="n"/>
      <c r="Z279" s="14" t="n"/>
      <c r="AA279" s="10" t="n"/>
      <c r="AB279" s="10" t="n"/>
      <c r="AC279" s="10" t="n"/>
      <c r="AD279" s="10" t="n"/>
      <c r="AE279" s="10" t="n"/>
      <c r="AF279" s="10" t="n"/>
      <c r="AG279" s="13" t="n"/>
    </row>
    <row r="280">
      <c r="A280" s="10" t="n"/>
      <c r="B280" s="11">
        <f>IF($A280="","",IFERROR(INDEX(Products!$B$2:$B$61,MATCH($A280,Products!$A$2:$A$61,0)),"Add to Products"))</f>
        <v/>
      </c>
      <c r="C280" s="11">
        <f>IF($A280="","",IFERROR(INDEX(Products!$C$2:$C$61,MATCH($A280,Products!$A$2:$A$61,0)),"Add to Products"))</f>
        <v/>
      </c>
      <c r="D280" s="11">
        <f>IF($A280="","",IFERROR(INDEX(Products!$D$2:$D$61,MATCH($A280,Products!$A$2:$A$61,0)),"Add to Products"))</f>
        <v/>
      </c>
      <c r="E280" s="11">
        <f>IF($A280="","",IFERROR(INDEX(Products!$E$2:$E$61,MATCH($A280,Products!$A$2:$A$61,0)),"Add to Products"))</f>
        <v/>
      </c>
      <c r="F280" s="11">
        <f>IF($A280="","",IFERROR(INDEX(Products!$F$2:$F$61,MATCH($A280,Products!$A$2:$A$61,0)),"Add to Products"))</f>
        <v/>
      </c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2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3" t="n"/>
      <c r="Y280" s="13" t="n"/>
      <c r="Z280" s="14" t="n"/>
      <c r="AA280" s="10" t="n"/>
      <c r="AB280" s="10" t="n"/>
      <c r="AC280" s="10" t="n"/>
      <c r="AD280" s="10" t="n"/>
      <c r="AE280" s="10" t="n"/>
      <c r="AF280" s="10" t="n"/>
      <c r="AG280" s="13" t="n"/>
    </row>
    <row r="281">
      <c r="A281" s="10" t="n"/>
      <c r="B281" s="11">
        <f>IF($A281="","",IFERROR(INDEX(Products!$B$2:$B$61,MATCH($A281,Products!$A$2:$A$61,0)),"Add to Products"))</f>
        <v/>
      </c>
      <c r="C281" s="11">
        <f>IF($A281="","",IFERROR(INDEX(Products!$C$2:$C$61,MATCH($A281,Products!$A$2:$A$61,0)),"Add to Products"))</f>
        <v/>
      </c>
      <c r="D281" s="11">
        <f>IF($A281="","",IFERROR(INDEX(Products!$D$2:$D$61,MATCH($A281,Products!$A$2:$A$61,0)),"Add to Products"))</f>
        <v/>
      </c>
      <c r="E281" s="11">
        <f>IF($A281="","",IFERROR(INDEX(Products!$E$2:$E$61,MATCH($A281,Products!$A$2:$A$61,0)),"Add to Products"))</f>
        <v/>
      </c>
      <c r="F281" s="11">
        <f>IF($A281="","",IFERROR(INDEX(Products!$F$2:$F$61,MATCH($A281,Products!$A$2:$A$61,0)),"Add to Products"))</f>
        <v/>
      </c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2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3" t="n"/>
      <c r="Y281" s="13" t="n"/>
      <c r="Z281" s="14" t="n"/>
      <c r="AA281" s="10" t="n"/>
      <c r="AB281" s="10" t="n"/>
      <c r="AC281" s="10" t="n"/>
      <c r="AD281" s="10" t="n"/>
      <c r="AE281" s="10" t="n"/>
      <c r="AF281" s="10" t="n"/>
      <c r="AG281" s="13" t="n"/>
    </row>
    <row r="282">
      <c r="A282" s="10" t="n"/>
      <c r="B282" s="11">
        <f>IF($A282="","",IFERROR(INDEX(Products!$B$2:$B$61,MATCH($A282,Products!$A$2:$A$61,0)),"Add to Products"))</f>
        <v/>
      </c>
      <c r="C282" s="11">
        <f>IF($A282="","",IFERROR(INDEX(Products!$C$2:$C$61,MATCH($A282,Products!$A$2:$A$61,0)),"Add to Products"))</f>
        <v/>
      </c>
      <c r="D282" s="11">
        <f>IF($A282="","",IFERROR(INDEX(Products!$D$2:$D$61,MATCH($A282,Products!$A$2:$A$61,0)),"Add to Products"))</f>
        <v/>
      </c>
      <c r="E282" s="11">
        <f>IF($A282="","",IFERROR(INDEX(Products!$E$2:$E$61,MATCH($A282,Products!$A$2:$A$61,0)),"Add to Products"))</f>
        <v/>
      </c>
      <c r="F282" s="11">
        <f>IF($A282="","",IFERROR(INDEX(Products!$F$2:$F$61,MATCH($A282,Products!$A$2:$A$61,0)),"Add to Products"))</f>
        <v/>
      </c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2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3" t="n"/>
      <c r="Y282" s="13" t="n"/>
      <c r="Z282" s="14" t="n"/>
      <c r="AA282" s="10" t="n"/>
      <c r="AB282" s="10" t="n"/>
      <c r="AC282" s="10" t="n"/>
      <c r="AD282" s="10" t="n"/>
      <c r="AE282" s="10" t="n"/>
      <c r="AF282" s="10" t="n"/>
      <c r="AG282" s="13" t="n"/>
    </row>
    <row r="283">
      <c r="A283" s="10" t="n"/>
      <c r="B283" s="11">
        <f>IF($A283="","",IFERROR(INDEX(Products!$B$2:$B$61,MATCH($A283,Products!$A$2:$A$61,0)),"Add to Products"))</f>
        <v/>
      </c>
      <c r="C283" s="11">
        <f>IF($A283="","",IFERROR(INDEX(Products!$C$2:$C$61,MATCH($A283,Products!$A$2:$A$61,0)),"Add to Products"))</f>
        <v/>
      </c>
      <c r="D283" s="11">
        <f>IF($A283="","",IFERROR(INDEX(Products!$D$2:$D$61,MATCH($A283,Products!$A$2:$A$61,0)),"Add to Products"))</f>
        <v/>
      </c>
      <c r="E283" s="11">
        <f>IF($A283="","",IFERROR(INDEX(Products!$E$2:$E$61,MATCH($A283,Products!$A$2:$A$61,0)),"Add to Products"))</f>
        <v/>
      </c>
      <c r="F283" s="11">
        <f>IF($A283="","",IFERROR(INDEX(Products!$F$2:$F$61,MATCH($A283,Products!$A$2:$A$61,0)),"Add to Products"))</f>
        <v/>
      </c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2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3" t="n"/>
      <c r="Y283" s="13" t="n"/>
      <c r="Z283" s="14" t="n"/>
      <c r="AA283" s="10" t="n"/>
      <c r="AB283" s="10" t="n"/>
      <c r="AC283" s="10" t="n"/>
      <c r="AD283" s="10" t="n"/>
      <c r="AE283" s="10" t="n"/>
      <c r="AF283" s="10" t="n"/>
      <c r="AG283" s="13" t="n"/>
    </row>
    <row r="284">
      <c r="A284" s="10" t="n"/>
      <c r="B284" s="11">
        <f>IF($A284="","",IFERROR(INDEX(Products!$B$2:$B$61,MATCH($A284,Products!$A$2:$A$61,0)),"Add to Products"))</f>
        <v/>
      </c>
      <c r="C284" s="11">
        <f>IF($A284="","",IFERROR(INDEX(Products!$C$2:$C$61,MATCH($A284,Products!$A$2:$A$61,0)),"Add to Products"))</f>
        <v/>
      </c>
      <c r="D284" s="11">
        <f>IF($A284="","",IFERROR(INDEX(Products!$D$2:$D$61,MATCH($A284,Products!$A$2:$A$61,0)),"Add to Products"))</f>
        <v/>
      </c>
      <c r="E284" s="11">
        <f>IF($A284="","",IFERROR(INDEX(Products!$E$2:$E$61,MATCH($A284,Products!$A$2:$A$61,0)),"Add to Products"))</f>
        <v/>
      </c>
      <c r="F284" s="11">
        <f>IF($A284="","",IFERROR(INDEX(Products!$F$2:$F$61,MATCH($A284,Products!$A$2:$A$61,0)),"Add to Products"))</f>
        <v/>
      </c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2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3" t="n"/>
      <c r="Y284" s="13" t="n"/>
      <c r="Z284" s="14" t="n"/>
      <c r="AA284" s="10" t="n"/>
      <c r="AB284" s="10" t="n"/>
      <c r="AC284" s="10" t="n"/>
      <c r="AD284" s="10" t="n"/>
      <c r="AE284" s="10" t="n"/>
      <c r="AF284" s="10" t="n"/>
      <c r="AG284" s="13" t="n"/>
    </row>
    <row r="285">
      <c r="A285" s="10" t="n"/>
      <c r="B285" s="11">
        <f>IF($A285="","",IFERROR(INDEX(Products!$B$2:$B$61,MATCH($A285,Products!$A$2:$A$61,0)),"Add to Products"))</f>
        <v/>
      </c>
      <c r="C285" s="11">
        <f>IF($A285="","",IFERROR(INDEX(Products!$C$2:$C$61,MATCH($A285,Products!$A$2:$A$61,0)),"Add to Products"))</f>
        <v/>
      </c>
      <c r="D285" s="11">
        <f>IF($A285="","",IFERROR(INDEX(Products!$D$2:$D$61,MATCH($A285,Products!$A$2:$A$61,0)),"Add to Products"))</f>
        <v/>
      </c>
      <c r="E285" s="11">
        <f>IF($A285="","",IFERROR(INDEX(Products!$E$2:$E$61,MATCH($A285,Products!$A$2:$A$61,0)),"Add to Products"))</f>
        <v/>
      </c>
      <c r="F285" s="11">
        <f>IF($A285="","",IFERROR(INDEX(Products!$F$2:$F$61,MATCH($A285,Products!$A$2:$A$61,0)),"Add to Products"))</f>
        <v/>
      </c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2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3" t="n"/>
      <c r="Y285" s="13" t="n"/>
      <c r="Z285" s="14" t="n"/>
      <c r="AA285" s="10" t="n"/>
      <c r="AB285" s="10" t="n"/>
      <c r="AC285" s="10" t="n"/>
      <c r="AD285" s="10" t="n"/>
      <c r="AE285" s="10" t="n"/>
      <c r="AF285" s="10" t="n"/>
      <c r="AG285" s="13" t="n"/>
    </row>
    <row r="286">
      <c r="A286" s="10" t="n"/>
      <c r="B286" s="11">
        <f>IF($A286="","",IFERROR(INDEX(Products!$B$2:$B$61,MATCH($A286,Products!$A$2:$A$61,0)),"Add to Products"))</f>
        <v/>
      </c>
      <c r="C286" s="11">
        <f>IF($A286="","",IFERROR(INDEX(Products!$C$2:$C$61,MATCH($A286,Products!$A$2:$A$61,0)),"Add to Products"))</f>
        <v/>
      </c>
      <c r="D286" s="11">
        <f>IF($A286="","",IFERROR(INDEX(Products!$D$2:$D$61,MATCH($A286,Products!$A$2:$A$61,0)),"Add to Products"))</f>
        <v/>
      </c>
      <c r="E286" s="11">
        <f>IF($A286="","",IFERROR(INDEX(Products!$E$2:$E$61,MATCH($A286,Products!$A$2:$A$61,0)),"Add to Products"))</f>
        <v/>
      </c>
      <c r="F286" s="11">
        <f>IF($A286="","",IFERROR(INDEX(Products!$F$2:$F$61,MATCH($A286,Products!$A$2:$A$61,0)),"Add to Products"))</f>
        <v/>
      </c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2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3" t="n"/>
      <c r="Y286" s="13" t="n"/>
      <c r="Z286" s="14" t="n"/>
      <c r="AA286" s="10" t="n"/>
      <c r="AB286" s="10" t="n"/>
      <c r="AC286" s="10" t="n"/>
      <c r="AD286" s="10" t="n"/>
      <c r="AE286" s="10" t="n"/>
      <c r="AF286" s="10" t="n"/>
      <c r="AG286" s="13" t="n"/>
    </row>
    <row r="287">
      <c r="A287" s="10" t="n"/>
      <c r="B287" s="11">
        <f>IF($A287="","",IFERROR(INDEX(Products!$B$2:$B$61,MATCH($A287,Products!$A$2:$A$61,0)),"Add to Products"))</f>
        <v/>
      </c>
      <c r="C287" s="11">
        <f>IF($A287="","",IFERROR(INDEX(Products!$C$2:$C$61,MATCH($A287,Products!$A$2:$A$61,0)),"Add to Products"))</f>
        <v/>
      </c>
      <c r="D287" s="11">
        <f>IF($A287="","",IFERROR(INDEX(Products!$D$2:$D$61,MATCH($A287,Products!$A$2:$A$61,0)),"Add to Products"))</f>
        <v/>
      </c>
      <c r="E287" s="11">
        <f>IF($A287="","",IFERROR(INDEX(Products!$E$2:$E$61,MATCH($A287,Products!$A$2:$A$61,0)),"Add to Products"))</f>
        <v/>
      </c>
      <c r="F287" s="11">
        <f>IF($A287="","",IFERROR(INDEX(Products!$F$2:$F$61,MATCH($A287,Products!$A$2:$A$61,0)),"Add to Products"))</f>
        <v/>
      </c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2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3" t="n"/>
      <c r="Y287" s="13" t="n"/>
      <c r="Z287" s="14" t="n"/>
      <c r="AA287" s="10" t="n"/>
      <c r="AB287" s="10" t="n"/>
      <c r="AC287" s="10" t="n"/>
      <c r="AD287" s="10" t="n"/>
      <c r="AE287" s="10" t="n"/>
      <c r="AF287" s="10" t="n"/>
      <c r="AG287" s="13" t="n"/>
    </row>
    <row r="288">
      <c r="A288" s="10" t="n"/>
      <c r="B288" s="11">
        <f>IF($A288="","",IFERROR(INDEX(Products!$B$2:$B$61,MATCH($A288,Products!$A$2:$A$61,0)),"Add to Products"))</f>
        <v/>
      </c>
      <c r="C288" s="11">
        <f>IF($A288="","",IFERROR(INDEX(Products!$C$2:$C$61,MATCH($A288,Products!$A$2:$A$61,0)),"Add to Products"))</f>
        <v/>
      </c>
      <c r="D288" s="11">
        <f>IF($A288="","",IFERROR(INDEX(Products!$D$2:$D$61,MATCH($A288,Products!$A$2:$A$61,0)),"Add to Products"))</f>
        <v/>
      </c>
      <c r="E288" s="11">
        <f>IF($A288="","",IFERROR(INDEX(Products!$E$2:$E$61,MATCH($A288,Products!$A$2:$A$61,0)),"Add to Products"))</f>
        <v/>
      </c>
      <c r="F288" s="11">
        <f>IF($A288="","",IFERROR(INDEX(Products!$F$2:$F$61,MATCH($A288,Products!$A$2:$A$61,0)),"Add to Products"))</f>
        <v/>
      </c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2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3" t="n"/>
      <c r="Y288" s="13" t="n"/>
      <c r="Z288" s="14" t="n"/>
      <c r="AA288" s="10" t="n"/>
      <c r="AB288" s="10" t="n"/>
      <c r="AC288" s="10" t="n"/>
      <c r="AD288" s="10" t="n"/>
      <c r="AE288" s="10" t="n"/>
      <c r="AF288" s="10" t="n"/>
      <c r="AG288" s="13" t="n"/>
    </row>
    <row r="289">
      <c r="A289" s="10" t="n"/>
      <c r="B289" s="11">
        <f>IF($A289="","",IFERROR(INDEX(Products!$B$2:$B$61,MATCH($A289,Products!$A$2:$A$61,0)),"Add to Products"))</f>
        <v/>
      </c>
      <c r="C289" s="11">
        <f>IF($A289="","",IFERROR(INDEX(Products!$C$2:$C$61,MATCH($A289,Products!$A$2:$A$61,0)),"Add to Products"))</f>
        <v/>
      </c>
      <c r="D289" s="11">
        <f>IF($A289="","",IFERROR(INDEX(Products!$D$2:$D$61,MATCH($A289,Products!$A$2:$A$61,0)),"Add to Products"))</f>
        <v/>
      </c>
      <c r="E289" s="11">
        <f>IF($A289="","",IFERROR(INDEX(Products!$E$2:$E$61,MATCH($A289,Products!$A$2:$A$61,0)),"Add to Products"))</f>
        <v/>
      </c>
      <c r="F289" s="11">
        <f>IF($A289="","",IFERROR(INDEX(Products!$F$2:$F$61,MATCH($A289,Products!$A$2:$A$61,0)),"Add to Products"))</f>
        <v/>
      </c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2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3" t="n"/>
      <c r="Y289" s="13" t="n"/>
      <c r="Z289" s="14" t="n"/>
      <c r="AA289" s="10" t="n"/>
      <c r="AB289" s="10" t="n"/>
      <c r="AC289" s="10" t="n"/>
      <c r="AD289" s="10" t="n"/>
      <c r="AE289" s="10" t="n"/>
      <c r="AF289" s="10" t="n"/>
      <c r="AG289" s="13" t="n"/>
    </row>
    <row r="290">
      <c r="A290" s="10" t="n"/>
      <c r="B290" s="11">
        <f>IF($A290="","",IFERROR(INDEX(Products!$B$2:$B$61,MATCH($A290,Products!$A$2:$A$61,0)),"Add to Products"))</f>
        <v/>
      </c>
      <c r="C290" s="11">
        <f>IF($A290="","",IFERROR(INDEX(Products!$C$2:$C$61,MATCH($A290,Products!$A$2:$A$61,0)),"Add to Products"))</f>
        <v/>
      </c>
      <c r="D290" s="11">
        <f>IF($A290="","",IFERROR(INDEX(Products!$D$2:$D$61,MATCH($A290,Products!$A$2:$A$61,0)),"Add to Products"))</f>
        <v/>
      </c>
      <c r="E290" s="11">
        <f>IF($A290="","",IFERROR(INDEX(Products!$E$2:$E$61,MATCH($A290,Products!$A$2:$A$61,0)),"Add to Products"))</f>
        <v/>
      </c>
      <c r="F290" s="11">
        <f>IF($A290="","",IFERROR(INDEX(Products!$F$2:$F$61,MATCH($A290,Products!$A$2:$A$61,0)),"Add to Products"))</f>
        <v/>
      </c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2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3" t="n"/>
      <c r="Y290" s="13" t="n"/>
      <c r="Z290" s="14" t="n"/>
      <c r="AA290" s="10" t="n"/>
      <c r="AB290" s="10" t="n"/>
      <c r="AC290" s="10" t="n"/>
      <c r="AD290" s="10" t="n"/>
      <c r="AE290" s="10" t="n"/>
      <c r="AF290" s="10" t="n"/>
      <c r="AG290" s="13" t="n"/>
    </row>
    <row r="291">
      <c r="A291" s="10" t="n"/>
      <c r="B291" s="11">
        <f>IF($A291="","",IFERROR(INDEX(Products!$B$2:$B$61,MATCH($A291,Products!$A$2:$A$61,0)),"Add to Products"))</f>
        <v/>
      </c>
      <c r="C291" s="11">
        <f>IF($A291="","",IFERROR(INDEX(Products!$C$2:$C$61,MATCH($A291,Products!$A$2:$A$61,0)),"Add to Products"))</f>
        <v/>
      </c>
      <c r="D291" s="11">
        <f>IF($A291="","",IFERROR(INDEX(Products!$D$2:$D$61,MATCH($A291,Products!$A$2:$A$61,0)),"Add to Products"))</f>
        <v/>
      </c>
      <c r="E291" s="11">
        <f>IF($A291="","",IFERROR(INDEX(Products!$E$2:$E$61,MATCH($A291,Products!$A$2:$A$61,0)),"Add to Products"))</f>
        <v/>
      </c>
      <c r="F291" s="11">
        <f>IF($A291="","",IFERROR(INDEX(Products!$F$2:$F$61,MATCH($A291,Products!$A$2:$A$61,0)),"Add to Products"))</f>
        <v/>
      </c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2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3" t="n"/>
      <c r="Y291" s="13" t="n"/>
      <c r="Z291" s="14" t="n"/>
      <c r="AA291" s="10" t="n"/>
      <c r="AB291" s="10" t="n"/>
      <c r="AC291" s="10" t="n"/>
      <c r="AD291" s="10" t="n"/>
      <c r="AE291" s="10" t="n"/>
      <c r="AF291" s="10" t="n"/>
      <c r="AG291" s="13" t="n"/>
    </row>
    <row r="292">
      <c r="A292" s="10" t="n"/>
      <c r="B292" s="11">
        <f>IF($A292="","",IFERROR(INDEX(Products!$B$2:$B$61,MATCH($A292,Products!$A$2:$A$61,0)),"Add to Products"))</f>
        <v/>
      </c>
      <c r="C292" s="11">
        <f>IF($A292="","",IFERROR(INDEX(Products!$C$2:$C$61,MATCH($A292,Products!$A$2:$A$61,0)),"Add to Products"))</f>
        <v/>
      </c>
      <c r="D292" s="11">
        <f>IF($A292="","",IFERROR(INDEX(Products!$D$2:$D$61,MATCH($A292,Products!$A$2:$A$61,0)),"Add to Products"))</f>
        <v/>
      </c>
      <c r="E292" s="11">
        <f>IF($A292="","",IFERROR(INDEX(Products!$E$2:$E$61,MATCH($A292,Products!$A$2:$A$61,0)),"Add to Products"))</f>
        <v/>
      </c>
      <c r="F292" s="11">
        <f>IF($A292="","",IFERROR(INDEX(Products!$F$2:$F$61,MATCH($A292,Products!$A$2:$A$61,0)),"Add to Products"))</f>
        <v/>
      </c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2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3" t="n"/>
      <c r="Y292" s="13" t="n"/>
      <c r="Z292" s="14" t="n"/>
      <c r="AA292" s="10" t="n"/>
      <c r="AB292" s="10" t="n"/>
      <c r="AC292" s="10" t="n"/>
      <c r="AD292" s="10" t="n"/>
      <c r="AE292" s="10" t="n"/>
      <c r="AF292" s="10" t="n"/>
      <c r="AG292" s="13" t="n"/>
    </row>
    <row r="293">
      <c r="A293" s="10" t="n"/>
      <c r="B293" s="11">
        <f>IF($A293="","",IFERROR(INDEX(Products!$B$2:$B$61,MATCH($A293,Products!$A$2:$A$61,0)),"Add to Products"))</f>
        <v/>
      </c>
      <c r="C293" s="11">
        <f>IF($A293="","",IFERROR(INDEX(Products!$C$2:$C$61,MATCH($A293,Products!$A$2:$A$61,0)),"Add to Products"))</f>
        <v/>
      </c>
      <c r="D293" s="11">
        <f>IF($A293="","",IFERROR(INDEX(Products!$D$2:$D$61,MATCH($A293,Products!$A$2:$A$61,0)),"Add to Products"))</f>
        <v/>
      </c>
      <c r="E293" s="11">
        <f>IF($A293="","",IFERROR(INDEX(Products!$E$2:$E$61,MATCH($A293,Products!$A$2:$A$61,0)),"Add to Products"))</f>
        <v/>
      </c>
      <c r="F293" s="11">
        <f>IF($A293="","",IFERROR(INDEX(Products!$F$2:$F$61,MATCH($A293,Products!$A$2:$A$61,0)),"Add to Products"))</f>
        <v/>
      </c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2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3" t="n"/>
      <c r="Y293" s="13" t="n"/>
      <c r="Z293" s="14" t="n"/>
      <c r="AA293" s="10" t="n"/>
      <c r="AB293" s="10" t="n"/>
      <c r="AC293" s="10" t="n"/>
      <c r="AD293" s="10" t="n"/>
      <c r="AE293" s="10" t="n"/>
      <c r="AF293" s="10" t="n"/>
      <c r="AG293" s="13" t="n"/>
    </row>
    <row r="294">
      <c r="A294" s="10" t="n"/>
      <c r="B294" s="11">
        <f>IF($A294="","",IFERROR(INDEX(Products!$B$2:$B$61,MATCH($A294,Products!$A$2:$A$61,0)),"Add to Products"))</f>
        <v/>
      </c>
      <c r="C294" s="11">
        <f>IF($A294="","",IFERROR(INDEX(Products!$C$2:$C$61,MATCH($A294,Products!$A$2:$A$61,0)),"Add to Products"))</f>
        <v/>
      </c>
      <c r="D294" s="11">
        <f>IF($A294="","",IFERROR(INDEX(Products!$D$2:$D$61,MATCH($A294,Products!$A$2:$A$61,0)),"Add to Products"))</f>
        <v/>
      </c>
      <c r="E294" s="11">
        <f>IF($A294="","",IFERROR(INDEX(Products!$E$2:$E$61,MATCH($A294,Products!$A$2:$A$61,0)),"Add to Products"))</f>
        <v/>
      </c>
      <c r="F294" s="11">
        <f>IF($A294="","",IFERROR(INDEX(Products!$F$2:$F$61,MATCH($A294,Products!$A$2:$A$61,0)),"Add to Products"))</f>
        <v/>
      </c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2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3" t="n"/>
      <c r="Y294" s="13" t="n"/>
      <c r="Z294" s="14" t="n"/>
      <c r="AA294" s="10" t="n"/>
      <c r="AB294" s="10" t="n"/>
      <c r="AC294" s="10" t="n"/>
      <c r="AD294" s="10" t="n"/>
      <c r="AE294" s="10" t="n"/>
      <c r="AF294" s="10" t="n"/>
      <c r="AG294" s="13" t="n"/>
    </row>
    <row r="295">
      <c r="A295" s="10" t="n"/>
      <c r="B295" s="11">
        <f>IF($A295="","",IFERROR(INDEX(Products!$B$2:$B$61,MATCH($A295,Products!$A$2:$A$61,0)),"Add to Products"))</f>
        <v/>
      </c>
      <c r="C295" s="11">
        <f>IF($A295="","",IFERROR(INDEX(Products!$C$2:$C$61,MATCH($A295,Products!$A$2:$A$61,0)),"Add to Products"))</f>
        <v/>
      </c>
      <c r="D295" s="11">
        <f>IF($A295="","",IFERROR(INDEX(Products!$D$2:$D$61,MATCH($A295,Products!$A$2:$A$61,0)),"Add to Products"))</f>
        <v/>
      </c>
      <c r="E295" s="11">
        <f>IF($A295="","",IFERROR(INDEX(Products!$E$2:$E$61,MATCH($A295,Products!$A$2:$A$61,0)),"Add to Products"))</f>
        <v/>
      </c>
      <c r="F295" s="11">
        <f>IF($A295="","",IFERROR(INDEX(Products!$F$2:$F$61,MATCH($A295,Products!$A$2:$A$61,0)),"Add to Products"))</f>
        <v/>
      </c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2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3" t="n"/>
      <c r="Y295" s="13" t="n"/>
      <c r="Z295" s="14" t="n"/>
      <c r="AA295" s="10" t="n"/>
      <c r="AB295" s="10" t="n"/>
      <c r="AC295" s="10" t="n"/>
      <c r="AD295" s="10" t="n"/>
      <c r="AE295" s="10" t="n"/>
      <c r="AF295" s="10" t="n"/>
      <c r="AG295" s="13" t="n"/>
    </row>
    <row r="296">
      <c r="A296" s="10" t="n"/>
      <c r="B296" s="11">
        <f>IF($A296="","",IFERROR(INDEX(Products!$B$2:$B$61,MATCH($A296,Products!$A$2:$A$61,0)),"Add to Products"))</f>
        <v/>
      </c>
      <c r="C296" s="11">
        <f>IF($A296="","",IFERROR(INDEX(Products!$C$2:$C$61,MATCH($A296,Products!$A$2:$A$61,0)),"Add to Products"))</f>
        <v/>
      </c>
      <c r="D296" s="11">
        <f>IF($A296="","",IFERROR(INDEX(Products!$D$2:$D$61,MATCH($A296,Products!$A$2:$A$61,0)),"Add to Products"))</f>
        <v/>
      </c>
      <c r="E296" s="11">
        <f>IF($A296="","",IFERROR(INDEX(Products!$E$2:$E$61,MATCH($A296,Products!$A$2:$A$61,0)),"Add to Products"))</f>
        <v/>
      </c>
      <c r="F296" s="11">
        <f>IF($A296="","",IFERROR(INDEX(Products!$F$2:$F$61,MATCH($A296,Products!$A$2:$A$61,0)),"Add to Products"))</f>
        <v/>
      </c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2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3" t="n"/>
      <c r="Y296" s="13" t="n"/>
      <c r="Z296" s="14" t="n"/>
      <c r="AA296" s="10" t="n"/>
      <c r="AB296" s="10" t="n"/>
      <c r="AC296" s="10" t="n"/>
      <c r="AD296" s="10" t="n"/>
      <c r="AE296" s="10" t="n"/>
      <c r="AF296" s="10" t="n"/>
      <c r="AG296" s="13" t="n"/>
    </row>
    <row r="297">
      <c r="A297" s="10" t="n"/>
      <c r="B297" s="11">
        <f>IF($A297="","",IFERROR(INDEX(Products!$B$2:$B$61,MATCH($A297,Products!$A$2:$A$61,0)),"Add to Products"))</f>
        <v/>
      </c>
      <c r="C297" s="11">
        <f>IF($A297="","",IFERROR(INDEX(Products!$C$2:$C$61,MATCH($A297,Products!$A$2:$A$61,0)),"Add to Products"))</f>
        <v/>
      </c>
      <c r="D297" s="11">
        <f>IF($A297="","",IFERROR(INDEX(Products!$D$2:$D$61,MATCH($A297,Products!$A$2:$A$61,0)),"Add to Products"))</f>
        <v/>
      </c>
      <c r="E297" s="11">
        <f>IF($A297="","",IFERROR(INDEX(Products!$E$2:$E$61,MATCH($A297,Products!$A$2:$A$61,0)),"Add to Products"))</f>
        <v/>
      </c>
      <c r="F297" s="11">
        <f>IF($A297="","",IFERROR(INDEX(Products!$F$2:$F$61,MATCH($A297,Products!$A$2:$A$61,0)),"Add to Products"))</f>
        <v/>
      </c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2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3" t="n"/>
      <c r="Y297" s="13" t="n"/>
      <c r="Z297" s="14" t="n"/>
      <c r="AA297" s="10" t="n"/>
      <c r="AB297" s="10" t="n"/>
      <c r="AC297" s="10" t="n"/>
      <c r="AD297" s="10" t="n"/>
      <c r="AE297" s="10" t="n"/>
      <c r="AF297" s="10" t="n"/>
      <c r="AG297" s="13" t="n"/>
    </row>
    <row r="298">
      <c r="A298" s="10" t="n"/>
      <c r="B298" s="11">
        <f>IF($A298="","",IFERROR(INDEX(Products!$B$2:$B$61,MATCH($A298,Products!$A$2:$A$61,0)),"Add to Products"))</f>
        <v/>
      </c>
      <c r="C298" s="11">
        <f>IF($A298="","",IFERROR(INDEX(Products!$C$2:$C$61,MATCH($A298,Products!$A$2:$A$61,0)),"Add to Products"))</f>
        <v/>
      </c>
      <c r="D298" s="11">
        <f>IF($A298="","",IFERROR(INDEX(Products!$D$2:$D$61,MATCH($A298,Products!$A$2:$A$61,0)),"Add to Products"))</f>
        <v/>
      </c>
      <c r="E298" s="11">
        <f>IF($A298="","",IFERROR(INDEX(Products!$E$2:$E$61,MATCH($A298,Products!$A$2:$A$61,0)),"Add to Products"))</f>
        <v/>
      </c>
      <c r="F298" s="11">
        <f>IF($A298="","",IFERROR(INDEX(Products!$F$2:$F$61,MATCH($A298,Products!$A$2:$A$61,0)),"Add to Products"))</f>
        <v/>
      </c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2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3" t="n"/>
      <c r="Y298" s="13" t="n"/>
      <c r="Z298" s="14" t="n"/>
      <c r="AA298" s="10" t="n"/>
      <c r="AB298" s="10" t="n"/>
      <c r="AC298" s="10" t="n"/>
      <c r="AD298" s="10" t="n"/>
      <c r="AE298" s="10" t="n"/>
      <c r="AF298" s="10" t="n"/>
      <c r="AG298" s="13" t="n"/>
    </row>
    <row r="299">
      <c r="A299" s="10" t="n"/>
      <c r="B299" s="11">
        <f>IF($A299="","",IFERROR(INDEX(Products!$B$2:$B$61,MATCH($A299,Products!$A$2:$A$61,0)),"Add to Products"))</f>
        <v/>
      </c>
      <c r="C299" s="11">
        <f>IF($A299="","",IFERROR(INDEX(Products!$C$2:$C$61,MATCH($A299,Products!$A$2:$A$61,0)),"Add to Products"))</f>
        <v/>
      </c>
      <c r="D299" s="11">
        <f>IF($A299="","",IFERROR(INDEX(Products!$D$2:$D$61,MATCH($A299,Products!$A$2:$A$61,0)),"Add to Products"))</f>
        <v/>
      </c>
      <c r="E299" s="11">
        <f>IF($A299="","",IFERROR(INDEX(Products!$E$2:$E$61,MATCH($A299,Products!$A$2:$A$61,0)),"Add to Products"))</f>
        <v/>
      </c>
      <c r="F299" s="11">
        <f>IF($A299="","",IFERROR(INDEX(Products!$F$2:$F$61,MATCH($A299,Products!$A$2:$A$61,0)),"Add to Products"))</f>
        <v/>
      </c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2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3" t="n"/>
      <c r="Y299" s="13" t="n"/>
      <c r="Z299" s="14" t="n"/>
      <c r="AA299" s="10" t="n"/>
      <c r="AB299" s="10" t="n"/>
      <c r="AC299" s="10" t="n"/>
      <c r="AD299" s="10" t="n"/>
      <c r="AE299" s="10" t="n"/>
      <c r="AF299" s="10" t="n"/>
      <c r="AG299" s="13" t="n"/>
    </row>
    <row r="300">
      <c r="A300" s="10" t="n"/>
      <c r="B300" s="11">
        <f>IF($A300="","",IFERROR(INDEX(Products!$B$2:$B$61,MATCH($A300,Products!$A$2:$A$61,0)),"Add to Products"))</f>
        <v/>
      </c>
      <c r="C300" s="11">
        <f>IF($A300="","",IFERROR(INDEX(Products!$C$2:$C$61,MATCH($A300,Products!$A$2:$A$61,0)),"Add to Products"))</f>
        <v/>
      </c>
      <c r="D300" s="11">
        <f>IF($A300="","",IFERROR(INDEX(Products!$D$2:$D$61,MATCH($A300,Products!$A$2:$A$61,0)),"Add to Products"))</f>
        <v/>
      </c>
      <c r="E300" s="11">
        <f>IF($A300="","",IFERROR(INDEX(Products!$E$2:$E$61,MATCH($A300,Products!$A$2:$A$61,0)),"Add to Products"))</f>
        <v/>
      </c>
      <c r="F300" s="11">
        <f>IF($A300="","",IFERROR(INDEX(Products!$F$2:$F$61,MATCH($A300,Products!$A$2:$A$61,0)),"Add to Products"))</f>
        <v/>
      </c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2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3" t="n"/>
      <c r="Y300" s="13" t="n"/>
      <c r="Z300" s="14" t="n"/>
      <c r="AA300" s="10" t="n"/>
      <c r="AB300" s="10" t="n"/>
      <c r="AC300" s="10" t="n"/>
      <c r="AD300" s="10" t="n"/>
      <c r="AE300" s="10" t="n"/>
      <c r="AF300" s="10" t="n"/>
      <c r="AG300" s="13" t="n"/>
    </row>
    <row r="301">
      <c r="A301" s="10" t="n"/>
      <c r="B301" s="11">
        <f>IF($A301="","",IFERROR(INDEX(Products!$B$2:$B$61,MATCH($A301,Products!$A$2:$A$61,0)),"Add to Products"))</f>
        <v/>
      </c>
      <c r="C301" s="11">
        <f>IF($A301="","",IFERROR(INDEX(Products!$C$2:$C$61,MATCH($A301,Products!$A$2:$A$61,0)),"Add to Products"))</f>
        <v/>
      </c>
      <c r="D301" s="11">
        <f>IF($A301="","",IFERROR(INDEX(Products!$D$2:$D$61,MATCH($A301,Products!$A$2:$A$61,0)),"Add to Products"))</f>
        <v/>
      </c>
      <c r="E301" s="11">
        <f>IF($A301="","",IFERROR(INDEX(Products!$E$2:$E$61,MATCH($A301,Products!$A$2:$A$61,0)),"Add to Products"))</f>
        <v/>
      </c>
      <c r="F301" s="11">
        <f>IF($A301="","",IFERROR(INDEX(Products!$F$2:$F$61,MATCH($A301,Products!$A$2:$A$61,0)),"Add to Products"))</f>
        <v/>
      </c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2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3" t="n"/>
      <c r="Y301" s="13" t="n"/>
      <c r="Z301" s="14" t="n"/>
      <c r="AA301" s="10" t="n"/>
      <c r="AB301" s="10" t="n"/>
      <c r="AC301" s="10" t="n"/>
      <c r="AD301" s="10" t="n"/>
      <c r="AE301" s="10" t="n"/>
      <c r="AF301" s="10" t="n"/>
      <c r="AG301" s="13" t="n"/>
    </row>
    <row r="302">
      <c r="A302" s="10" t="n"/>
      <c r="B302" s="11">
        <f>IF($A302="","",IFERROR(INDEX(Products!$B$2:$B$61,MATCH($A302,Products!$A$2:$A$61,0)),"Add to Products"))</f>
        <v/>
      </c>
      <c r="C302" s="11">
        <f>IF($A302="","",IFERROR(INDEX(Products!$C$2:$C$61,MATCH($A302,Products!$A$2:$A$61,0)),"Add to Products"))</f>
        <v/>
      </c>
      <c r="D302" s="11">
        <f>IF($A302="","",IFERROR(INDEX(Products!$D$2:$D$61,MATCH($A302,Products!$A$2:$A$61,0)),"Add to Products"))</f>
        <v/>
      </c>
      <c r="E302" s="11">
        <f>IF($A302="","",IFERROR(INDEX(Products!$E$2:$E$61,MATCH($A302,Products!$A$2:$A$61,0)),"Add to Products"))</f>
        <v/>
      </c>
      <c r="F302" s="11">
        <f>IF($A302="","",IFERROR(INDEX(Products!$F$2:$F$61,MATCH($A302,Products!$A$2:$A$61,0)),"Add to Products"))</f>
        <v/>
      </c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2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3" t="n"/>
      <c r="Y302" s="13" t="n"/>
      <c r="Z302" s="14" t="n"/>
      <c r="AA302" s="10" t="n"/>
      <c r="AB302" s="10" t="n"/>
      <c r="AC302" s="10" t="n"/>
      <c r="AD302" s="10" t="n"/>
      <c r="AE302" s="10" t="n"/>
      <c r="AF302" s="10" t="n"/>
      <c r="AG302" s="13" t="n"/>
    </row>
    <row r="303">
      <c r="A303" s="10" t="n"/>
      <c r="B303" s="11">
        <f>IF($A303="","",IFERROR(INDEX(Products!$B$2:$B$61,MATCH($A303,Products!$A$2:$A$61,0)),"Add to Products"))</f>
        <v/>
      </c>
      <c r="C303" s="11">
        <f>IF($A303="","",IFERROR(INDEX(Products!$C$2:$C$61,MATCH($A303,Products!$A$2:$A$61,0)),"Add to Products"))</f>
        <v/>
      </c>
      <c r="D303" s="11">
        <f>IF($A303="","",IFERROR(INDEX(Products!$D$2:$D$61,MATCH($A303,Products!$A$2:$A$61,0)),"Add to Products"))</f>
        <v/>
      </c>
      <c r="E303" s="11">
        <f>IF($A303="","",IFERROR(INDEX(Products!$E$2:$E$61,MATCH($A303,Products!$A$2:$A$61,0)),"Add to Products"))</f>
        <v/>
      </c>
      <c r="F303" s="11">
        <f>IF($A303="","",IFERROR(INDEX(Products!$F$2:$F$61,MATCH($A303,Products!$A$2:$A$61,0)),"Add to Products"))</f>
        <v/>
      </c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2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3" t="n"/>
      <c r="Y303" s="13" t="n"/>
      <c r="Z303" s="14" t="n"/>
      <c r="AA303" s="10" t="n"/>
      <c r="AB303" s="10" t="n"/>
      <c r="AC303" s="10" t="n"/>
      <c r="AD303" s="10" t="n"/>
      <c r="AE303" s="10" t="n"/>
      <c r="AF303" s="10" t="n"/>
      <c r="AG303" s="13" t="n"/>
    </row>
    <row r="304">
      <c r="A304" s="10" t="n"/>
      <c r="B304" s="11">
        <f>IF($A304="","",IFERROR(INDEX(Products!$B$2:$B$61,MATCH($A304,Products!$A$2:$A$61,0)),"Add to Products"))</f>
        <v/>
      </c>
      <c r="C304" s="11">
        <f>IF($A304="","",IFERROR(INDEX(Products!$C$2:$C$61,MATCH($A304,Products!$A$2:$A$61,0)),"Add to Products"))</f>
        <v/>
      </c>
      <c r="D304" s="11">
        <f>IF($A304="","",IFERROR(INDEX(Products!$D$2:$D$61,MATCH($A304,Products!$A$2:$A$61,0)),"Add to Products"))</f>
        <v/>
      </c>
      <c r="E304" s="11">
        <f>IF($A304="","",IFERROR(INDEX(Products!$E$2:$E$61,MATCH($A304,Products!$A$2:$A$61,0)),"Add to Products"))</f>
        <v/>
      </c>
      <c r="F304" s="11">
        <f>IF($A304="","",IFERROR(INDEX(Products!$F$2:$F$61,MATCH($A304,Products!$A$2:$A$61,0)),"Add to Products"))</f>
        <v/>
      </c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2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3" t="n"/>
      <c r="Y304" s="13" t="n"/>
      <c r="Z304" s="14" t="n"/>
      <c r="AA304" s="10" t="n"/>
      <c r="AB304" s="10" t="n"/>
      <c r="AC304" s="10" t="n"/>
      <c r="AD304" s="10" t="n"/>
      <c r="AE304" s="10" t="n"/>
      <c r="AF304" s="10" t="n"/>
      <c r="AG304" s="13" t="n"/>
    </row>
    <row r="305">
      <c r="A305" s="10" t="n"/>
      <c r="B305" s="11">
        <f>IF($A305="","",IFERROR(INDEX(Products!$B$2:$B$61,MATCH($A305,Products!$A$2:$A$61,0)),"Add to Products"))</f>
        <v/>
      </c>
      <c r="C305" s="11">
        <f>IF($A305="","",IFERROR(INDEX(Products!$C$2:$C$61,MATCH($A305,Products!$A$2:$A$61,0)),"Add to Products"))</f>
        <v/>
      </c>
      <c r="D305" s="11">
        <f>IF($A305="","",IFERROR(INDEX(Products!$D$2:$D$61,MATCH($A305,Products!$A$2:$A$61,0)),"Add to Products"))</f>
        <v/>
      </c>
      <c r="E305" s="11">
        <f>IF($A305="","",IFERROR(INDEX(Products!$E$2:$E$61,MATCH($A305,Products!$A$2:$A$61,0)),"Add to Products"))</f>
        <v/>
      </c>
      <c r="F305" s="11">
        <f>IF($A305="","",IFERROR(INDEX(Products!$F$2:$F$61,MATCH($A305,Products!$A$2:$A$61,0)),"Add to Products"))</f>
        <v/>
      </c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2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3" t="n"/>
      <c r="Y305" s="13" t="n"/>
      <c r="Z305" s="14" t="n"/>
      <c r="AA305" s="10" t="n"/>
      <c r="AB305" s="10" t="n"/>
      <c r="AC305" s="10" t="n"/>
      <c r="AD305" s="10" t="n"/>
      <c r="AE305" s="10" t="n"/>
      <c r="AF305" s="10" t="n"/>
      <c r="AG305" s="13" t="n"/>
    </row>
    <row r="306">
      <c r="A306" s="10" t="n"/>
      <c r="B306" s="11">
        <f>IF($A306="","",IFERROR(INDEX(Products!$B$2:$B$61,MATCH($A306,Products!$A$2:$A$61,0)),"Add to Products"))</f>
        <v/>
      </c>
      <c r="C306" s="11">
        <f>IF($A306="","",IFERROR(INDEX(Products!$C$2:$C$61,MATCH($A306,Products!$A$2:$A$61,0)),"Add to Products"))</f>
        <v/>
      </c>
      <c r="D306" s="11">
        <f>IF($A306="","",IFERROR(INDEX(Products!$D$2:$D$61,MATCH($A306,Products!$A$2:$A$61,0)),"Add to Products"))</f>
        <v/>
      </c>
      <c r="E306" s="11">
        <f>IF($A306="","",IFERROR(INDEX(Products!$E$2:$E$61,MATCH($A306,Products!$A$2:$A$61,0)),"Add to Products"))</f>
        <v/>
      </c>
      <c r="F306" s="11">
        <f>IF($A306="","",IFERROR(INDEX(Products!$F$2:$F$61,MATCH($A306,Products!$A$2:$A$61,0)),"Add to Products"))</f>
        <v/>
      </c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2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3" t="n"/>
      <c r="Y306" s="13" t="n"/>
      <c r="Z306" s="14" t="n"/>
      <c r="AA306" s="10" t="n"/>
      <c r="AB306" s="10" t="n"/>
      <c r="AC306" s="10" t="n"/>
      <c r="AD306" s="10" t="n"/>
      <c r="AE306" s="10" t="n"/>
      <c r="AF306" s="10" t="n"/>
      <c r="AG306" s="13" t="n"/>
    </row>
    <row r="307">
      <c r="A307" s="10" t="n"/>
      <c r="B307" s="11">
        <f>IF($A307="","",IFERROR(INDEX(Products!$B$2:$B$61,MATCH($A307,Products!$A$2:$A$61,0)),"Add to Products"))</f>
        <v/>
      </c>
      <c r="C307" s="11">
        <f>IF($A307="","",IFERROR(INDEX(Products!$C$2:$C$61,MATCH($A307,Products!$A$2:$A$61,0)),"Add to Products"))</f>
        <v/>
      </c>
      <c r="D307" s="11">
        <f>IF($A307="","",IFERROR(INDEX(Products!$D$2:$D$61,MATCH($A307,Products!$A$2:$A$61,0)),"Add to Products"))</f>
        <v/>
      </c>
      <c r="E307" s="11">
        <f>IF($A307="","",IFERROR(INDEX(Products!$E$2:$E$61,MATCH($A307,Products!$A$2:$A$61,0)),"Add to Products"))</f>
        <v/>
      </c>
      <c r="F307" s="11">
        <f>IF($A307="","",IFERROR(INDEX(Products!$F$2:$F$61,MATCH($A307,Products!$A$2:$A$61,0)),"Add to Products"))</f>
        <v/>
      </c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2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3" t="n"/>
      <c r="Y307" s="13" t="n"/>
      <c r="Z307" s="14" t="n"/>
      <c r="AA307" s="10" t="n"/>
      <c r="AB307" s="10" t="n"/>
      <c r="AC307" s="10" t="n"/>
      <c r="AD307" s="10" t="n"/>
      <c r="AE307" s="10" t="n"/>
      <c r="AF307" s="10" t="n"/>
      <c r="AG307" s="13" t="n"/>
    </row>
    <row r="308">
      <c r="A308" s="10" t="n"/>
      <c r="B308" s="11">
        <f>IF($A308="","",IFERROR(INDEX(Products!$B$2:$B$61,MATCH($A308,Products!$A$2:$A$61,0)),"Add to Products"))</f>
        <v/>
      </c>
      <c r="C308" s="11">
        <f>IF($A308="","",IFERROR(INDEX(Products!$C$2:$C$61,MATCH($A308,Products!$A$2:$A$61,0)),"Add to Products"))</f>
        <v/>
      </c>
      <c r="D308" s="11">
        <f>IF($A308="","",IFERROR(INDEX(Products!$D$2:$D$61,MATCH($A308,Products!$A$2:$A$61,0)),"Add to Products"))</f>
        <v/>
      </c>
      <c r="E308" s="11">
        <f>IF($A308="","",IFERROR(INDEX(Products!$E$2:$E$61,MATCH($A308,Products!$A$2:$A$61,0)),"Add to Products"))</f>
        <v/>
      </c>
      <c r="F308" s="11">
        <f>IF($A308="","",IFERROR(INDEX(Products!$F$2:$F$61,MATCH($A308,Products!$A$2:$A$61,0)),"Add to Products"))</f>
        <v/>
      </c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2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3" t="n"/>
      <c r="Y308" s="13" t="n"/>
      <c r="Z308" s="14" t="n"/>
      <c r="AA308" s="10" t="n"/>
      <c r="AB308" s="10" t="n"/>
      <c r="AC308" s="10" t="n"/>
      <c r="AD308" s="10" t="n"/>
      <c r="AE308" s="10" t="n"/>
      <c r="AF308" s="10" t="n"/>
      <c r="AG308" s="13" t="n"/>
    </row>
    <row r="309">
      <c r="A309" s="10" t="n"/>
      <c r="B309" s="11">
        <f>IF($A309="","",IFERROR(INDEX(Products!$B$2:$B$61,MATCH($A309,Products!$A$2:$A$61,0)),"Add to Products"))</f>
        <v/>
      </c>
      <c r="C309" s="11">
        <f>IF($A309="","",IFERROR(INDEX(Products!$C$2:$C$61,MATCH($A309,Products!$A$2:$A$61,0)),"Add to Products"))</f>
        <v/>
      </c>
      <c r="D309" s="11">
        <f>IF($A309="","",IFERROR(INDEX(Products!$D$2:$D$61,MATCH($A309,Products!$A$2:$A$61,0)),"Add to Products"))</f>
        <v/>
      </c>
      <c r="E309" s="11">
        <f>IF($A309="","",IFERROR(INDEX(Products!$E$2:$E$61,MATCH($A309,Products!$A$2:$A$61,0)),"Add to Products"))</f>
        <v/>
      </c>
      <c r="F309" s="11">
        <f>IF($A309="","",IFERROR(INDEX(Products!$F$2:$F$61,MATCH($A309,Products!$A$2:$A$61,0)),"Add to Products"))</f>
        <v/>
      </c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2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3" t="n"/>
      <c r="Y309" s="13" t="n"/>
      <c r="Z309" s="14" t="n"/>
      <c r="AA309" s="10" t="n"/>
      <c r="AB309" s="10" t="n"/>
      <c r="AC309" s="10" t="n"/>
      <c r="AD309" s="10" t="n"/>
      <c r="AE309" s="10" t="n"/>
      <c r="AF309" s="10" t="n"/>
      <c r="AG309" s="13" t="n"/>
    </row>
    <row r="310">
      <c r="A310" s="10" t="n"/>
      <c r="B310" s="11">
        <f>IF($A310="","",IFERROR(INDEX(Products!$B$2:$B$61,MATCH($A310,Products!$A$2:$A$61,0)),"Add to Products"))</f>
        <v/>
      </c>
      <c r="C310" s="11">
        <f>IF($A310="","",IFERROR(INDEX(Products!$C$2:$C$61,MATCH($A310,Products!$A$2:$A$61,0)),"Add to Products"))</f>
        <v/>
      </c>
      <c r="D310" s="11">
        <f>IF($A310="","",IFERROR(INDEX(Products!$D$2:$D$61,MATCH($A310,Products!$A$2:$A$61,0)),"Add to Products"))</f>
        <v/>
      </c>
      <c r="E310" s="11">
        <f>IF($A310="","",IFERROR(INDEX(Products!$E$2:$E$61,MATCH($A310,Products!$A$2:$A$61,0)),"Add to Products"))</f>
        <v/>
      </c>
      <c r="F310" s="11">
        <f>IF($A310="","",IFERROR(INDEX(Products!$F$2:$F$61,MATCH($A310,Products!$A$2:$A$61,0)),"Add to Products"))</f>
        <v/>
      </c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2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3" t="n"/>
      <c r="Y310" s="13" t="n"/>
      <c r="Z310" s="14" t="n"/>
      <c r="AA310" s="10" t="n"/>
      <c r="AB310" s="10" t="n"/>
      <c r="AC310" s="10" t="n"/>
      <c r="AD310" s="10" t="n"/>
      <c r="AE310" s="10" t="n"/>
      <c r="AF310" s="10" t="n"/>
      <c r="AG310" s="13" t="n"/>
    </row>
    <row r="311">
      <c r="A311" s="10" t="n"/>
      <c r="B311" s="11">
        <f>IF($A311="","",IFERROR(INDEX(Products!$B$2:$B$61,MATCH($A311,Products!$A$2:$A$61,0)),"Add to Products"))</f>
        <v/>
      </c>
      <c r="C311" s="11">
        <f>IF($A311="","",IFERROR(INDEX(Products!$C$2:$C$61,MATCH($A311,Products!$A$2:$A$61,0)),"Add to Products"))</f>
        <v/>
      </c>
      <c r="D311" s="11">
        <f>IF($A311="","",IFERROR(INDEX(Products!$D$2:$D$61,MATCH($A311,Products!$A$2:$A$61,0)),"Add to Products"))</f>
        <v/>
      </c>
      <c r="E311" s="11">
        <f>IF($A311="","",IFERROR(INDEX(Products!$E$2:$E$61,MATCH($A311,Products!$A$2:$A$61,0)),"Add to Products"))</f>
        <v/>
      </c>
      <c r="F311" s="11">
        <f>IF($A311="","",IFERROR(INDEX(Products!$F$2:$F$61,MATCH($A311,Products!$A$2:$A$61,0)),"Add to Products"))</f>
        <v/>
      </c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2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3" t="n"/>
      <c r="Y311" s="13" t="n"/>
      <c r="Z311" s="14" t="n"/>
      <c r="AA311" s="10" t="n"/>
      <c r="AB311" s="10" t="n"/>
      <c r="AC311" s="10" t="n"/>
      <c r="AD311" s="10" t="n"/>
      <c r="AE311" s="10" t="n"/>
      <c r="AF311" s="10" t="n"/>
      <c r="AG311" s="13" t="n"/>
    </row>
    <row r="312">
      <c r="A312" s="10" t="n"/>
      <c r="B312" s="11">
        <f>IF($A312="","",IFERROR(INDEX(Products!$B$2:$B$61,MATCH($A312,Products!$A$2:$A$61,0)),"Add to Products"))</f>
        <v/>
      </c>
      <c r="C312" s="11">
        <f>IF($A312="","",IFERROR(INDEX(Products!$C$2:$C$61,MATCH($A312,Products!$A$2:$A$61,0)),"Add to Products"))</f>
        <v/>
      </c>
      <c r="D312" s="11">
        <f>IF($A312="","",IFERROR(INDEX(Products!$D$2:$D$61,MATCH($A312,Products!$A$2:$A$61,0)),"Add to Products"))</f>
        <v/>
      </c>
      <c r="E312" s="11">
        <f>IF($A312="","",IFERROR(INDEX(Products!$E$2:$E$61,MATCH($A312,Products!$A$2:$A$61,0)),"Add to Products"))</f>
        <v/>
      </c>
      <c r="F312" s="11">
        <f>IF($A312="","",IFERROR(INDEX(Products!$F$2:$F$61,MATCH($A312,Products!$A$2:$A$61,0)),"Add to Products"))</f>
        <v/>
      </c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2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3" t="n"/>
      <c r="Y312" s="13" t="n"/>
      <c r="Z312" s="14" t="n"/>
      <c r="AA312" s="10" t="n"/>
      <c r="AB312" s="10" t="n"/>
      <c r="AC312" s="10" t="n"/>
      <c r="AD312" s="10" t="n"/>
      <c r="AE312" s="10" t="n"/>
      <c r="AF312" s="10" t="n"/>
      <c r="AG312" s="13" t="n"/>
    </row>
    <row r="313">
      <c r="A313" s="10" t="n"/>
      <c r="B313" s="11">
        <f>IF($A313="","",IFERROR(INDEX(Products!$B$2:$B$61,MATCH($A313,Products!$A$2:$A$61,0)),"Add to Products"))</f>
        <v/>
      </c>
      <c r="C313" s="11">
        <f>IF($A313="","",IFERROR(INDEX(Products!$C$2:$C$61,MATCH($A313,Products!$A$2:$A$61,0)),"Add to Products"))</f>
        <v/>
      </c>
      <c r="D313" s="11">
        <f>IF($A313="","",IFERROR(INDEX(Products!$D$2:$D$61,MATCH($A313,Products!$A$2:$A$61,0)),"Add to Products"))</f>
        <v/>
      </c>
      <c r="E313" s="11">
        <f>IF($A313="","",IFERROR(INDEX(Products!$E$2:$E$61,MATCH($A313,Products!$A$2:$A$61,0)),"Add to Products"))</f>
        <v/>
      </c>
      <c r="F313" s="11">
        <f>IF($A313="","",IFERROR(INDEX(Products!$F$2:$F$61,MATCH($A313,Products!$A$2:$A$61,0)),"Add to Products"))</f>
        <v/>
      </c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2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3" t="n"/>
      <c r="Y313" s="13" t="n"/>
      <c r="Z313" s="14" t="n"/>
      <c r="AA313" s="10" t="n"/>
      <c r="AB313" s="10" t="n"/>
      <c r="AC313" s="10" t="n"/>
      <c r="AD313" s="10" t="n"/>
      <c r="AE313" s="10" t="n"/>
      <c r="AF313" s="10" t="n"/>
      <c r="AG313" s="13" t="n"/>
    </row>
    <row r="314">
      <c r="A314" s="10" t="n"/>
      <c r="B314" s="11">
        <f>IF($A314="","",IFERROR(INDEX(Products!$B$2:$B$61,MATCH($A314,Products!$A$2:$A$61,0)),"Add to Products"))</f>
        <v/>
      </c>
      <c r="C314" s="11">
        <f>IF($A314="","",IFERROR(INDEX(Products!$C$2:$C$61,MATCH($A314,Products!$A$2:$A$61,0)),"Add to Products"))</f>
        <v/>
      </c>
      <c r="D314" s="11">
        <f>IF($A314="","",IFERROR(INDEX(Products!$D$2:$D$61,MATCH($A314,Products!$A$2:$A$61,0)),"Add to Products"))</f>
        <v/>
      </c>
      <c r="E314" s="11">
        <f>IF($A314="","",IFERROR(INDEX(Products!$E$2:$E$61,MATCH($A314,Products!$A$2:$A$61,0)),"Add to Products"))</f>
        <v/>
      </c>
      <c r="F314" s="11">
        <f>IF($A314="","",IFERROR(INDEX(Products!$F$2:$F$61,MATCH($A314,Products!$A$2:$A$61,0)),"Add to Products"))</f>
        <v/>
      </c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2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3" t="n"/>
      <c r="Y314" s="13" t="n"/>
      <c r="Z314" s="14" t="n"/>
      <c r="AA314" s="10" t="n"/>
      <c r="AB314" s="10" t="n"/>
      <c r="AC314" s="10" t="n"/>
      <c r="AD314" s="10" t="n"/>
      <c r="AE314" s="10" t="n"/>
      <c r="AF314" s="10" t="n"/>
      <c r="AG314" s="13" t="n"/>
    </row>
    <row r="315">
      <c r="A315" s="10" t="n"/>
      <c r="B315" s="11">
        <f>IF($A315="","",IFERROR(INDEX(Products!$B$2:$B$61,MATCH($A315,Products!$A$2:$A$61,0)),"Add to Products"))</f>
        <v/>
      </c>
      <c r="C315" s="11">
        <f>IF($A315="","",IFERROR(INDEX(Products!$C$2:$C$61,MATCH($A315,Products!$A$2:$A$61,0)),"Add to Products"))</f>
        <v/>
      </c>
      <c r="D315" s="11">
        <f>IF($A315="","",IFERROR(INDEX(Products!$D$2:$D$61,MATCH($A315,Products!$A$2:$A$61,0)),"Add to Products"))</f>
        <v/>
      </c>
      <c r="E315" s="11">
        <f>IF($A315="","",IFERROR(INDEX(Products!$E$2:$E$61,MATCH($A315,Products!$A$2:$A$61,0)),"Add to Products"))</f>
        <v/>
      </c>
      <c r="F315" s="11">
        <f>IF($A315="","",IFERROR(INDEX(Products!$F$2:$F$61,MATCH($A315,Products!$A$2:$A$61,0)),"Add to Products"))</f>
        <v/>
      </c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2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3" t="n"/>
      <c r="Y315" s="13" t="n"/>
      <c r="Z315" s="14" t="n"/>
      <c r="AA315" s="10" t="n"/>
      <c r="AB315" s="10" t="n"/>
      <c r="AC315" s="10" t="n"/>
      <c r="AD315" s="10" t="n"/>
      <c r="AE315" s="10" t="n"/>
      <c r="AF315" s="10" t="n"/>
      <c r="AG315" s="13" t="n"/>
    </row>
    <row r="316">
      <c r="A316" s="10" t="n"/>
      <c r="B316" s="11">
        <f>IF($A316="","",IFERROR(INDEX(Products!$B$2:$B$61,MATCH($A316,Products!$A$2:$A$61,0)),"Add to Products"))</f>
        <v/>
      </c>
      <c r="C316" s="11">
        <f>IF($A316="","",IFERROR(INDEX(Products!$C$2:$C$61,MATCH($A316,Products!$A$2:$A$61,0)),"Add to Products"))</f>
        <v/>
      </c>
      <c r="D316" s="11">
        <f>IF($A316="","",IFERROR(INDEX(Products!$D$2:$D$61,MATCH($A316,Products!$A$2:$A$61,0)),"Add to Products"))</f>
        <v/>
      </c>
      <c r="E316" s="11">
        <f>IF($A316="","",IFERROR(INDEX(Products!$E$2:$E$61,MATCH($A316,Products!$A$2:$A$61,0)),"Add to Products"))</f>
        <v/>
      </c>
      <c r="F316" s="11">
        <f>IF($A316="","",IFERROR(INDEX(Products!$F$2:$F$61,MATCH($A316,Products!$A$2:$A$61,0)),"Add to Products"))</f>
        <v/>
      </c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2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3" t="n"/>
      <c r="Y316" s="13" t="n"/>
      <c r="Z316" s="14" t="n"/>
      <c r="AA316" s="10" t="n"/>
      <c r="AB316" s="10" t="n"/>
      <c r="AC316" s="10" t="n"/>
      <c r="AD316" s="10" t="n"/>
      <c r="AE316" s="10" t="n"/>
      <c r="AF316" s="10" t="n"/>
      <c r="AG316" s="13" t="n"/>
    </row>
    <row r="317">
      <c r="A317" s="10" t="n"/>
      <c r="B317" s="11">
        <f>IF($A317="","",IFERROR(INDEX(Products!$B$2:$B$61,MATCH($A317,Products!$A$2:$A$61,0)),"Add to Products"))</f>
        <v/>
      </c>
      <c r="C317" s="11">
        <f>IF($A317="","",IFERROR(INDEX(Products!$C$2:$C$61,MATCH($A317,Products!$A$2:$A$61,0)),"Add to Products"))</f>
        <v/>
      </c>
      <c r="D317" s="11">
        <f>IF($A317="","",IFERROR(INDEX(Products!$D$2:$D$61,MATCH($A317,Products!$A$2:$A$61,0)),"Add to Products"))</f>
        <v/>
      </c>
      <c r="E317" s="11">
        <f>IF($A317="","",IFERROR(INDEX(Products!$E$2:$E$61,MATCH($A317,Products!$A$2:$A$61,0)),"Add to Products"))</f>
        <v/>
      </c>
      <c r="F317" s="11">
        <f>IF($A317="","",IFERROR(INDEX(Products!$F$2:$F$61,MATCH($A317,Products!$A$2:$A$61,0)),"Add to Products"))</f>
        <v/>
      </c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2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3" t="n"/>
      <c r="Y317" s="13" t="n"/>
      <c r="Z317" s="14" t="n"/>
      <c r="AA317" s="10" t="n"/>
      <c r="AB317" s="10" t="n"/>
      <c r="AC317" s="10" t="n"/>
      <c r="AD317" s="10" t="n"/>
      <c r="AE317" s="10" t="n"/>
      <c r="AF317" s="10" t="n"/>
      <c r="AG317" s="13" t="n"/>
    </row>
    <row r="318">
      <c r="A318" s="10" t="n"/>
      <c r="B318" s="11">
        <f>IF($A318="","",IFERROR(INDEX(Products!$B$2:$B$61,MATCH($A318,Products!$A$2:$A$61,0)),"Add to Products"))</f>
        <v/>
      </c>
      <c r="C318" s="11">
        <f>IF($A318="","",IFERROR(INDEX(Products!$C$2:$C$61,MATCH($A318,Products!$A$2:$A$61,0)),"Add to Products"))</f>
        <v/>
      </c>
      <c r="D318" s="11">
        <f>IF($A318="","",IFERROR(INDEX(Products!$D$2:$D$61,MATCH($A318,Products!$A$2:$A$61,0)),"Add to Products"))</f>
        <v/>
      </c>
      <c r="E318" s="11">
        <f>IF($A318="","",IFERROR(INDEX(Products!$E$2:$E$61,MATCH($A318,Products!$A$2:$A$61,0)),"Add to Products"))</f>
        <v/>
      </c>
      <c r="F318" s="11">
        <f>IF($A318="","",IFERROR(INDEX(Products!$F$2:$F$61,MATCH($A318,Products!$A$2:$A$61,0)),"Add to Products"))</f>
        <v/>
      </c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2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3" t="n"/>
      <c r="Y318" s="13" t="n"/>
      <c r="Z318" s="14" t="n"/>
      <c r="AA318" s="10" t="n"/>
      <c r="AB318" s="10" t="n"/>
      <c r="AC318" s="10" t="n"/>
      <c r="AD318" s="10" t="n"/>
      <c r="AE318" s="10" t="n"/>
      <c r="AF318" s="10" t="n"/>
      <c r="AG318" s="13" t="n"/>
    </row>
    <row r="319">
      <c r="A319" s="10" t="n"/>
      <c r="B319" s="11">
        <f>IF($A319="","",IFERROR(INDEX(Products!$B$2:$B$61,MATCH($A319,Products!$A$2:$A$61,0)),"Add to Products"))</f>
        <v/>
      </c>
      <c r="C319" s="11">
        <f>IF($A319="","",IFERROR(INDEX(Products!$C$2:$C$61,MATCH($A319,Products!$A$2:$A$61,0)),"Add to Products"))</f>
        <v/>
      </c>
      <c r="D319" s="11">
        <f>IF($A319="","",IFERROR(INDEX(Products!$D$2:$D$61,MATCH($A319,Products!$A$2:$A$61,0)),"Add to Products"))</f>
        <v/>
      </c>
      <c r="E319" s="11">
        <f>IF($A319="","",IFERROR(INDEX(Products!$E$2:$E$61,MATCH($A319,Products!$A$2:$A$61,0)),"Add to Products"))</f>
        <v/>
      </c>
      <c r="F319" s="11">
        <f>IF($A319="","",IFERROR(INDEX(Products!$F$2:$F$61,MATCH($A319,Products!$A$2:$A$61,0)),"Add to Products"))</f>
        <v/>
      </c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2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3" t="n"/>
      <c r="Y319" s="13" t="n"/>
      <c r="Z319" s="14" t="n"/>
      <c r="AA319" s="10" t="n"/>
      <c r="AB319" s="10" t="n"/>
      <c r="AC319" s="10" t="n"/>
      <c r="AD319" s="10" t="n"/>
      <c r="AE319" s="10" t="n"/>
      <c r="AF319" s="10" t="n"/>
      <c r="AG319" s="13" t="n"/>
    </row>
    <row r="320">
      <c r="A320" s="10" t="n"/>
      <c r="B320" s="11">
        <f>IF($A320="","",IFERROR(INDEX(Products!$B$2:$B$61,MATCH($A320,Products!$A$2:$A$61,0)),"Add to Products"))</f>
        <v/>
      </c>
      <c r="C320" s="11">
        <f>IF($A320="","",IFERROR(INDEX(Products!$C$2:$C$61,MATCH($A320,Products!$A$2:$A$61,0)),"Add to Products"))</f>
        <v/>
      </c>
      <c r="D320" s="11">
        <f>IF($A320="","",IFERROR(INDEX(Products!$D$2:$D$61,MATCH($A320,Products!$A$2:$A$61,0)),"Add to Products"))</f>
        <v/>
      </c>
      <c r="E320" s="11">
        <f>IF($A320="","",IFERROR(INDEX(Products!$E$2:$E$61,MATCH($A320,Products!$A$2:$A$61,0)),"Add to Products"))</f>
        <v/>
      </c>
      <c r="F320" s="11">
        <f>IF($A320="","",IFERROR(INDEX(Products!$F$2:$F$61,MATCH($A320,Products!$A$2:$A$61,0)),"Add to Products"))</f>
        <v/>
      </c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2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3" t="n"/>
      <c r="Y320" s="13" t="n"/>
      <c r="Z320" s="14" t="n"/>
      <c r="AA320" s="10" t="n"/>
      <c r="AB320" s="10" t="n"/>
      <c r="AC320" s="10" t="n"/>
      <c r="AD320" s="10" t="n"/>
      <c r="AE320" s="10" t="n"/>
      <c r="AF320" s="10" t="n"/>
      <c r="AG320" s="13" t="n"/>
    </row>
    <row r="321">
      <c r="A321" s="10" t="n"/>
      <c r="B321" s="11">
        <f>IF($A321="","",IFERROR(INDEX(Products!$B$2:$B$61,MATCH($A321,Products!$A$2:$A$61,0)),"Add to Products"))</f>
        <v/>
      </c>
      <c r="C321" s="11">
        <f>IF($A321="","",IFERROR(INDEX(Products!$C$2:$C$61,MATCH($A321,Products!$A$2:$A$61,0)),"Add to Products"))</f>
        <v/>
      </c>
      <c r="D321" s="11">
        <f>IF($A321="","",IFERROR(INDEX(Products!$D$2:$D$61,MATCH($A321,Products!$A$2:$A$61,0)),"Add to Products"))</f>
        <v/>
      </c>
      <c r="E321" s="11">
        <f>IF($A321="","",IFERROR(INDEX(Products!$E$2:$E$61,MATCH($A321,Products!$A$2:$A$61,0)),"Add to Products"))</f>
        <v/>
      </c>
      <c r="F321" s="11">
        <f>IF($A321="","",IFERROR(INDEX(Products!$F$2:$F$61,MATCH($A321,Products!$A$2:$A$61,0)),"Add to Products"))</f>
        <v/>
      </c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2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3" t="n"/>
      <c r="Y321" s="13" t="n"/>
      <c r="Z321" s="14" t="n"/>
      <c r="AA321" s="10" t="n"/>
      <c r="AB321" s="10" t="n"/>
      <c r="AC321" s="10" t="n"/>
      <c r="AD321" s="10" t="n"/>
      <c r="AE321" s="10" t="n"/>
      <c r="AF321" s="10" t="n"/>
      <c r="AG321" s="13" t="n"/>
    </row>
    <row r="322">
      <c r="A322" s="10" t="n"/>
      <c r="B322" s="11">
        <f>IF($A322="","",IFERROR(INDEX(Products!$B$2:$B$61,MATCH($A322,Products!$A$2:$A$61,0)),"Add to Products"))</f>
        <v/>
      </c>
      <c r="C322" s="11">
        <f>IF($A322="","",IFERROR(INDEX(Products!$C$2:$C$61,MATCH($A322,Products!$A$2:$A$61,0)),"Add to Products"))</f>
        <v/>
      </c>
      <c r="D322" s="11">
        <f>IF($A322="","",IFERROR(INDEX(Products!$D$2:$D$61,MATCH($A322,Products!$A$2:$A$61,0)),"Add to Products"))</f>
        <v/>
      </c>
      <c r="E322" s="11">
        <f>IF($A322="","",IFERROR(INDEX(Products!$E$2:$E$61,MATCH($A322,Products!$A$2:$A$61,0)),"Add to Products"))</f>
        <v/>
      </c>
      <c r="F322" s="11">
        <f>IF($A322="","",IFERROR(INDEX(Products!$F$2:$F$61,MATCH($A322,Products!$A$2:$A$61,0)),"Add to Products"))</f>
        <v/>
      </c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2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3" t="n"/>
      <c r="Y322" s="13" t="n"/>
      <c r="Z322" s="14" t="n"/>
      <c r="AA322" s="10" t="n"/>
      <c r="AB322" s="10" t="n"/>
      <c r="AC322" s="10" t="n"/>
      <c r="AD322" s="10" t="n"/>
      <c r="AE322" s="10" t="n"/>
      <c r="AF322" s="10" t="n"/>
      <c r="AG322" s="13" t="n"/>
    </row>
    <row r="323">
      <c r="A323" s="10" t="n"/>
      <c r="B323" s="11">
        <f>IF($A323="","",IFERROR(INDEX(Products!$B$2:$B$61,MATCH($A323,Products!$A$2:$A$61,0)),"Add to Products"))</f>
        <v/>
      </c>
      <c r="C323" s="11">
        <f>IF($A323="","",IFERROR(INDEX(Products!$C$2:$C$61,MATCH($A323,Products!$A$2:$A$61,0)),"Add to Products"))</f>
        <v/>
      </c>
      <c r="D323" s="11">
        <f>IF($A323="","",IFERROR(INDEX(Products!$D$2:$D$61,MATCH($A323,Products!$A$2:$A$61,0)),"Add to Products"))</f>
        <v/>
      </c>
      <c r="E323" s="11">
        <f>IF($A323="","",IFERROR(INDEX(Products!$E$2:$E$61,MATCH($A323,Products!$A$2:$A$61,0)),"Add to Products"))</f>
        <v/>
      </c>
      <c r="F323" s="11">
        <f>IF($A323="","",IFERROR(INDEX(Products!$F$2:$F$61,MATCH($A323,Products!$A$2:$A$61,0)),"Add to Products"))</f>
        <v/>
      </c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2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3" t="n"/>
      <c r="Y323" s="13" t="n"/>
      <c r="Z323" s="14" t="n"/>
      <c r="AA323" s="10" t="n"/>
      <c r="AB323" s="10" t="n"/>
      <c r="AC323" s="10" t="n"/>
      <c r="AD323" s="10" t="n"/>
      <c r="AE323" s="10" t="n"/>
      <c r="AF323" s="10" t="n"/>
      <c r="AG323" s="13" t="n"/>
    </row>
    <row r="324">
      <c r="A324" s="10" t="n"/>
      <c r="B324" s="11">
        <f>IF($A324="","",IFERROR(INDEX(Products!$B$2:$B$61,MATCH($A324,Products!$A$2:$A$61,0)),"Add to Products"))</f>
        <v/>
      </c>
      <c r="C324" s="11">
        <f>IF($A324="","",IFERROR(INDEX(Products!$C$2:$C$61,MATCH($A324,Products!$A$2:$A$61,0)),"Add to Products"))</f>
        <v/>
      </c>
      <c r="D324" s="11">
        <f>IF($A324="","",IFERROR(INDEX(Products!$D$2:$D$61,MATCH($A324,Products!$A$2:$A$61,0)),"Add to Products"))</f>
        <v/>
      </c>
      <c r="E324" s="11">
        <f>IF($A324="","",IFERROR(INDEX(Products!$E$2:$E$61,MATCH($A324,Products!$A$2:$A$61,0)),"Add to Products"))</f>
        <v/>
      </c>
      <c r="F324" s="11">
        <f>IF($A324="","",IFERROR(INDEX(Products!$F$2:$F$61,MATCH($A324,Products!$A$2:$A$61,0)),"Add to Products"))</f>
        <v/>
      </c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2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3" t="n"/>
      <c r="Y324" s="13" t="n"/>
      <c r="Z324" s="14" t="n"/>
      <c r="AA324" s="10" t="n"/>
      <c r="AB324" s="10" t="n"/>
      <c r="AC324" s="10" t="n"/>
      <c r="AD324" s="10" t="n"/>
      <c r="AE324" s="10" t="n"/>
      <c r="AF324" s="10" t="n"/>
      <c r="AG324" s="13" t="n"/>
    </row>
    <row r="325">
      <c r="A325" s="10" t="n"/>
      <c r="B325" s="11">
        <f>IF($A325="","",IFERROR(INDEX(Products!$B$2:$B$61,MATCH($A325,Products!$A$2:$A$61,0)),"Add to Products"))</f>
        <v/>
      </c>
      <c r="C325" s="11">
        <f>IF($A325="","",IFERROR(INDEX(Products!$C$2:$C$61,MATCH($A325,Products!$A$2:$A$61,0)),"Add to Products"))</f>
        <v/>
      </c>
      <c r="D325" s="11">
        <f>IF($A325="","",IFERROR(INDEX(Products!$D$2:$D$61,MATCH($A325,Products!$A$2:$A$61,0)),"Add to Products"))</f>
        <v/>
      </c>
      <c r="E325" s="11">
        <f>IF($A325="","",IFERROR(INDEX(Products!$E$2:$E$61,MATCH($A325,Products!$A$2:$A$61,0)),"Add to Products"))</f>
        <v/>
      </c>
      <c r="F325" s="11">
        <f>IF($A325="","",IFERROR(INDEX(Products!$F$2:$F$61,MATCH($A325,Products!$A$2:$A$61,0)),"Add to Products"))</f>
        <v/>
      </c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2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3" t="n"/>
      <c r="Y325" s="13" t="n"/>
      <c r="Z325" s="14" t="n"/>
      <c r="AA325" s="10" t="n"/>
      <c r="AB325" s="10" t="n"/>
      <c r="AC325" s="10" t="n"/>
      <c r="AD325" s="10" t="n"/>
      <c r="AE325" s="10" t="n"/>
      <c r="AF325" s="10" t="n"/>
      <c r="AG325" s="13" t="n"/>
    </row>
    <row r="326">
      <c r="A326" s="10" t="n"/>
      <c r="B326" s="11">
        <f>IF($A326="","",IFERROR(INDEX(Products!$B$2:$B$61,MATCH($A326,Products!$A$2:$A$61,0)),"Add to Products"))</f>
        <v/>
      </c>
      <c r="C326" s="11">
        <f>IF($A326="","",IFERROR(INDEX(Products!$C$2:$C$61,MATCH($A326,Products!$A$2:$A$61,0)),"Add to Products"))</f>
        <v/>
      </c>
      <c r="D326" s="11">
        <f>IF($A326="","",IFERROR(INDEX(Products!$D$2:$D$61,MATCH($A326,Products!$A$2:$A$61,0)),"Add to Products"))</f>
        <v/>
      </c>
      <c r="E326" s="11">
        <f>IF($A326="","",IFERROR(INDEX(Products!$E$2:$E$61,MATCH($A326,Products!$A$2:$A$61,0)),"Add to Products"))</f>
        <v/>
      </c>
      <c r="F326" s="11">
        <f>IF($A326="","",IFERROR(INDEX(Products!$F$2:$F$61,MATCH($A326,Products!$A$2:$A$61,0)),"Add to Products"))</f>
        <v/>
      </c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2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3" t="n"/>
      <c r="Y326" s="13" t="n"/>
      <c r="Z326" s="14" t="n"/>
      <c r="AA326" s="10" t="n"/>
      <c r="AB326" s="10" t="n"/>
      <c r="AC326" s="10" t="n"/>
      <c r="AD326" s="10" t="n"/>
      <c r="AE326" s="10" t="n"/>
      <c r="AF326" s="10" t="n"/>
      <c r="AG326" s="13" t="n"/>
    </row>
    <row r="327">
      <c r="A327" s="10" t="n"/>
      <c r="B327" s="11">
        <f>IF($A327="","",IFERROR(INDEX(Products!$B$2:$B$61,MATCH($A327,Products!$A$2:$A$61,0)),"Add to Products"))</f>
        <v/>
      </c>
      <c r="C327" s="11">
        <f>IF($A327="","",IFERROR(INDEX(Products!$C$2:$C$61,MATCH($A327,Products!$A$2:$A$61,0)),"Add to Products"))</f>
        <v/>
      </c>
      <c r="D327" s="11">
        <f>IF($A327="","",IFERROR(INDEX(Products!$D$2:$D$61,MATCH($A327,Products!$A$2:$A$61,0)),"Add to Products"))</f>
        <v/>
      </c>
      <c r="E327" s="11">
        <f>IF($A327="","",IFERROR(INDEX(Products!$E$2:$E$61,MATCH($A327,Products!$A$2:$A$61,0)),"Add to Products"))</f>
        <v/>
      </c>
      <c r="F327" s="11">
        <f>IF($A327="","",IFERROR(INDEX(Products!$F$2:$F$61,MATCH($A327,Products!$A$2:$A$61,0)),"Add to Products"))</f>
        <v/>
      </c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2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3" t="n"/>
      <c r="Y327" s="13" t="n"/>
      <c r="Z327" s="14" t="n"/>
      <c r="AA327" s="10" t="n"/>
      <c r="AB327" s="10" t="n"/>
      <c r="AC327" s="10" t="n"/>
      <c r="AD327" s="10" t="n"/>
      <c r="AE327" s="10" t="n"/>
      <c r="AF327" s="10" t="n"/>
      <c r="AG327" s="13" t="n"/>
    </row>
    <row r="328">
      <c r="A328" s="10" t="n"/>
      <c r="B328" s="11">
        <f>IF($A328="","",IFERROR(INDEX(Products!$B$2:$B$61,MATCH($A328,Products!$A$2:$A$61,0)),"Add to Products"))</f>
        <v/>
      </c>
      <c r="C328" s="11">
        <f>IF($A328="","",IFERROR(INDEX(Products!$C$2:$C$61,MATCH($A328,Products!$A$2:$A$61,0)),"Add to Products"))</f>
        <v/>
      </c>
      <c r="D328" s="11">
        <f>IF($A328="","",IFERROR(INDEX(Products!$D$2:$D$61,MATCH($A328,Products!$A$2:$A$61,0)),"Add to Products"))</f>
        <v/>
      </c>
      <c r="E328" s="11">
        <f>IF($A328="","",IFERROR(INDEX(Products!$E$2:$E$61,MATCH($A328,Products!$A$2:$A$61,0)),"Add to Products"))</f>
        <v/>
      </c>
      <c r="F328" s="11">
        <f>IF($A328="","",IFERROR(INDEX(Products!$F$2:$F$61,MATCH($A328,Products!$A$2:$A$61,0)),"Add to Products"))</f>
        <v/>
      </c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2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3" t="n"/>
      <c r="Y328" s="13" t="n"/>
      <c r="Z328" s="14" t="n"/>
      <c r="AA328" s="10" t="n"/>
      <c r="AB328" s="10" t="n"/>
      <c r="AC328" s="10" t="n"/>
      <c r="AD328" s="10" t="n"/>
      <c r="AE328" s="10" t="n"/>
      <c r="AF328" s="10" t="n"/>
      <c r="AG328" s="13" t="n"/>
    </row>
    <row r="329">
      <c r="A329" s="10" t="n"/>
      <c r="B329" s="11">
        <f>IF($A329="","",IFERROR(INDEX(Products!$B$2:$B$61,MATCH($A329,Products!$A$2:$A$61,0)),"Add to Products"))</f>
        <v/>
      </c>
      <c r="C329" s="11">
        <f>IF($A329="","",IFERROR(INDEX(Products!$C$2:$C$61,MATCH($A329,Products!$A$2:$A$61,0)),"Add to Products"))</f>
        <v/>
      </c>
      <c r="D329" s="11">
        <f>IF($A329="","",IFERROR(INDEX(Products!$D$2:$D$61,MATCH($A329,Products!$A$2:$A$61,0)),"Add to Products"))</f>
        <v/>
      </c>
      <c r="E329" s="11">
        <f>IF($A329="","",IFERROR(INDEX(Products!$E$2:$E$61,MATCH($A329,Products!$A$2:$A$61,0)),"Add to Products"))</f>
        <v/>
      </c>
      <c r="F329" s="11">
        <f>IF($A329="","",IFERROR(INDEX(Products!$F$2:$F$61,MATCH($A329,Products!$A$2:$A$61,0)),"Add to Products"))</f>
        <v/>
      </c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2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3" t="n"/>
      <c r="Y329" s="13" t="n"/>
      <c r="Z329" s="14" t="n"/>
      <c r="AA329" s="10" t="n"/>
      <c r="AB329" s="10" t="n"/>
      <c r="AC329" s="10" t="n"/>
      <c r="AD329" s="10" t="n"/>
      <c r="AE329" s="10" t="n"/>
      <c r="AF329" s="10" t="n"/>
      <c r="AG329" s="13" t="n"/>
    </row>
    <row r="330">
      <c r="A330" s="10" t="n"/>
      <c r="B330" s="11">
        <f>IF($A330="","",IFERROR(INDEX(Products!$B$2:$B$61,MATCH($A330,Products!$A$2:$A$61,0)),"Add to Products"))</f>
        <v/>
      </c>
      <c r="C330" s="11">
        <f>IF($A330="","",IFERROR(INDEX(Products!$C$2:$C$61,MATCH($A330,Products!$A$2:$A$61,0)),"Add to Products"))</f>
        <v/>
      </c>
      <c r="D330" s="11">
        <f>IF($A330="","",IFERROR(INDEX(Products!$D$2:$D$61,MATCH($A330,Products!$A$2:$A$61,0)),"Add to Products"))</f>
        <v/>
      </c>
      <c r="E330" s="11">
        <f>IF($A330="","",IFERROR(INDEX(Products!$E$2:$E$61,MATCH($A330,Products!$A$2:$A$61,0)),"Add to Products"))</f>
        <v/>
      </c>
      <c r="F330" s="11">
        <f>IF($A330="","",IFERROR(INDEX(Products!$F$2:$F$61,MATCH($A330,Products!$A$2:$A$61,0)),"Add to Products"))</f>
        <v/>
      </c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2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3" t="n"/>
      <c r="Y330" s="13" t="n"/>
      <c r="Z330" s="14" t="n"/>
      <c r="AA330" s="10" t="n"/>
      <c r="AB330" s="10" t="n"/>
      <c r="AC330" s="10" t="n"/>
      <c r="AD330" s="10" t="n"/>
      <c r="AE330" s="10" t="n"/>
      <c r="AF330" s="10" t="n"/>
      <c r="AG330" s="13" t="n"/>
    </row>
    <row r="331">
      <c r="A331" s="10" t="n"/>
      <c r="B331" s="11">
        <f>IF($A331="","",IFERROR(INDEX(Products!$B$2:$B$61,MATCH($A331,Products!$A$2:$A$61,0)),"Add to Products"))</f>
        <v/>
      </c>
      <c r="C331" s="11">
        <f>IF($A331="","",IFERROR(INDEX(Products!$C$2:$C$61,MATCH($A331,Products!$A$2:$A$61,0)),"Add to Products"))</f>
        <v/>
      </c>
      <c r="D331" s="11">
        <f>IF($A331="","",IFERROR(INDEX(Products!$D$2:$D$61,MATCH($A331,Products!$A$2:$A$61,0)),"Add to Products"))</f>
        <v/>
      </c>
      <c r="E331" s="11">
        <f>IF($A331="","",IFERROR(INDEX(Products!$E$2:$E$61,MATCH($A331,Products!$A$2:$A$61,0)),"Add to Products"))</f>
        <v/>
      </c>
      <c r="F331" s="11">
        <f>IF($A331="","",IFERROR(INDEX(Products!$F$2:$F$61,MATCH($A331,Products!$A$2:$A$61,0)),"Add to Products"))</f>
        <v/>
      </c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2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3" t="n"/>
      <c r="Y331" s="13" t="n"/>
      <c r="Z331" s="14" t="n"/>
      <c r="AA331" s="10" t="n"/>
      <c r="AB331" s="10" t="n"/>
      <c r="AC331" s="10" t="n"/>
      <c r="AD331" s="10" t="n"/>
      <c r="AE331" s="10" t="n"/>
      <c r="AF331" s="10" t="n"/>
      <c r="AG331" s="13" t="n"/>
    </row>
    <row r="332">
      <c r="A332" s="10" t="n"/>
      <c r="B332" s="11">
        <f>IF($A332="","",IFERROR(INDEX(Products!$B$2:$B$61,MATCH($A332,Products!$A$2:$A$61,0)),"Add to Products"))</f>
        <v/>
      </c>
      <c r="C332" s="11">
        <f>IF($A332="","",IFERROR(INDEX(Products!$C$2:$C$61,MATCH($A332,Products!$A$2:$A$61,0)),"Add to Products"))</f>
        <v/>
      </c>
      <c r="D332" s="11">
        <f>IF($A332="","",IFERROR(INDEX(Products!$D$2:$D$61,MATCH($A332,Products!$A$2:$A$61,0)),"Add to Products"))</f>
        <v/>
      </c>
      <c r="E332" s="11">
        <f>IF($A332="","",IFERROR(INDEX(Products!$E$2:$E$61,MATCH($A332,Products!$A$2:$A$61,0)),"Add to Products"))</f>
        <v/>
      </c>
      <c r="F332" s="11">
        <f>IF($A332="","",IFERROR(INDEX(Products!$F$2:$F$61,MATCH($A332,Products!$A$2:$A$61,0)),"Add to Products"))</f>
        <v/>
      </c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2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3" t="n"/>
      <c r="Y332" s="13" t="n"/>
      <c r="Z332" s="14" t="n"/>
      <c r="AA332" s="10" t="n"/>
      <c r="AB332" s="10" t="n"/>
      <c r="AC332" s="10" t="n"/>
      <c r="AD332" s="10" t="n"/>
      <c r="AE332" s="10" t="n"/>
      <c r="AF332" s="10" t="n"/>
      <c r="AG332" s="13" t="n"/>
    </row>
    <row r="333">
      <c r="A333" s="10" t="n"/>
      <c r="B333" s="11">
        <f>IF($A333="","",IFERROR(INDEX(Products!$B$2:$B$61,MATCH($A333,Products!$A$2:$A$61,0)),"Add to Products"))</f>
        <v/>
      </c>
      <c r="C333" s="11">
        <f>IF($A333="","",IFERROR(INDEX(Products!$C$2:$C$61,MATCH($A333,Products!$A$2:$A$61,0)),"Add to Products"))</f>
        <v/>
      </c>
      <c r="D333" s="11">
        <f>IF($A333="","",IFERROR(INDEX(Products!$D$2:$D$61,MATCH($A333,Products!$A$2:$A$61,0)),"Add to Products"))</f>
        <v/>
      </c>
      <c r="E333" s="11">
        <f>IF($A333="","",IFERROR(INDEX(Products!$E$2:$E$61,MATCH($A333,Products!$A$2:$A$61,0)),"Add to Products"))</f>
        <v/>
      </c>
      <c r="F333" s="11">
        <f>IF($A333="","",IFERROR(INDEX(Products!$F$2:$F$61,MATCH($A333,Products!$A$2:$A$61,0)),"Add to Products"))</f>
        <v/>
      </c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2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3" t="n"/>
      <c r="Y333" s="13" t="n"/>
      <c r="Z333" s="14" t="n"/>
      <c r="AA333" s="10" t="n"/>
      <c r="AB333" s="10" t="n"/>
      <c r="AC333" s="10" t="n"/>
      <c r="AD333" s="10" t="n"/>
      <c r="AE333" s="10" t="n"/>
      <c r="AF333" s="10" t="n"/>
      <c r="AG333" s="13" t="n"/>
    </row>
    <row r="334">
      <c r="A334" s="10" t="n"/>
      <c r="B334" s="11">
        <f>IF($A334="","",IFERROR(INDEX(Products!$B$2:$B$61,MATCH($A334,Products!$A$2:$A$61,0)),"Add to Products"))</f>
        <v/>
      </c>
      <c r="C334" s="11">
        <f>IF($A334="","",IFERROR(INDEX(Products!$C$2:$C$61,MATCH($A334,Products!$A$2:$A$61,0)),"Add to Products"))</f>
        <v/>
      </c>
      <c r="D334" s="11">
        <f>IF($A334="","",IFERROR(INDEX(Products!$D$2:$D$61,MATCH($A334,Products!$A$2:$A$61,0)),"Add to Products"))</f>
        <v/>
      </c>
      <c r="E334" s="11">
        <f>IF($A334="","",IFERROR(INDEX(Products!$E$2:$E$61,MATCH($A334,Products!$A$2:$A$61,0)),"Add to Products"))</f>
        <v/>
      </c>
      <c r="F334" s="11">
        <f>IF($A334="","",IFERROR(INDEX(Products!$F$2:$F$61,MATCH($A334,Products!$A$2:$A$61,0)),"Add to Products"))</f>
        <v/>
      </c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2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3" t="n"/>
      <c r="Y334" s="13" t="n"/>
      <c r="Z334" s="14" t="n"/>
      <c r="AA334" s="10" t="n"/>
      <c r="AB334" s="10" t="n"/>
      <c r="AC334" s="10" t="n"/>
      <c r="AD334" s="10" t="n"/>
      <c r="AE334" s="10" t="n"/>
      <c r="AF334" s="10" t="n"/>
      <c r="AG334" s="13" t="n"/>
    </row>
    <row r="335">
      <c r="A335" s="10" t="n"/>
      <c r="B335" s="11">
        <f>IF($A335="","",IFERROR(INDEX(Products!$B$2:$B$61,MATCH($A335,Products!$A$2:$A$61,0)),"Add to Products"))</f>
        <v/>
      </c>
      <c r="C335" s="11">
        <f>IF($A335="","",IFERROR(INDEX(Products!$C$2:$C$61,MATCH($A335,Products!$A$2:$A$61,0)),"Add to Products"))</f>
        <v/>
      </c>
      <c r="D335" s="11">
        <f>IF($A335="","",IFERROR(INDEX(Products!$D$2:$D$61,MATCH($A335,Products!$A$2:$A$61,0)),"Add to Products"))</f>
        <v/>
      </c>
      <c r="E335" s="11">
        <f>IF($A335="","",IFERROR(INDEX(Products!$E$2:$E$61,MATCH($A335,Products!$A$2:$A$61,0)),"Add to Products"))</f>
        <v/>
      </c>
      <c r="F335" s="11">
        <f>IF($A335="","",IFERROR(INDEX(Products!$F$2:$F$61,MATCH($A335,Products!$A$2:$A$61,0)),"Add to Products"))</f>
        <v/>
      </c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2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3" t="n"/>
      <c r="Y335" s="13" t="n"/>
      <c r="Z335" s="14" t="n"/>
      <c r="AA335" s="10" t="n"/>
      <c r="AB335" s="10" t="n"/>
      <c r="AC335" s="10" t="n"/>
      <c r="AD335" s="10" t="n"/>
      <c r="AE335" s="10" t="n"/>
      <c r="AF335" s="10" t="n"/>
      <c r="AG335" s="13" t="n"/>
    </row>
    <row r="336">
      <c r="A336" s="10" t="n"/>
      <c r="B336" s="11">
        <f>IF($A336="","",IFERROR(INDEX(Products!$B$2:$B$61,MATCH($A336,Products!$A$2:$A$61,0)),"Add to Products"))</f>
        <v/>
      </c>
      <c r="C336" s="11">
        <f>IF($A336="","",IFERROR(INDEX(Products!$C$2:$C$61,MATCH($A336,Products!$A$2:$A$61,0)),"Add to Products"))</f>
        <v/>
      </c>
      <c r="D336" s="11">
        <f>IF($A336="","",IFERROR(INDEX(Products!$D$2:$D$61,MATCH($A336,Products!$A$2:$A$61,0)),"Add to Products"))</f>
        <v/>
      </c>
      <c r="E336" s="11">
        <f>IF($A336="","",IFERROR(INDEX(Products!$E$2:$E$61,MATCH($A336,Products!$A$2:$A$61,0)),"Add to Products"))</f>
        <v/>
      </c>
      <c r="F336" s="11">
        <f>IF($A336="","",IFERROR(INDEX(Products!$F$2:$F$61,MATCH($A336,Products!$A$2:$A$61,0)),"Add to Products"))</f>
        <v/>
      </c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2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3" t="n"/>
      <c r="Y336" s="13" t="n"/>
      <c r="Z336" s="14" t="n"/>
      <c r="AA336" s="10" t="n"/>
      <c r="AB336" s="10" t="n"/>
      <c r="AC336" s="10" t="n"/>
      <c r="AD336" s="10" t="n"/>
      <c r="AE336" s="10" t="n"/>
      <c r="AF336" s="10" t="n"/>
      <c r="AG336" s="13" t="n"/>
    </row>
    <row r="337">
      <c r="A337" s="10" t="n"/>
      <c r="B337" s="11">
        <f>IF($A337="","",IFERROR(INDEX(Products!$B$2:$B$61,MATCH($A337,Products!$A$2:$A$61,0)),"Add to Products"))</f>
        <v/>
      </c>
      <c r="C337" s="11">
        <f>IF($A337="","",IFERROR(INDEX(Products!$C$2:$C$61,MATCH($A337,Products!$A$2:$A$61,0)),"Add to Products"))</f>
        <v/>
      </c>
      <c r="D337" s="11">
        <f>IF($A337="","",IFERROR(INDEX(Products!$D$2:$D$61,MATCH($A337,Products!$A$2:$A$61,0)),"Add to Products"))</f>
        <v/>
      </c>
      <c r="E337" s="11">
        <f>IF($A337="","",IFERROR(INDEX(Products!$E$2:$E$61,MATCH($A337,Products!$A$2:$A$61,0)),"Add to Products"))</f>
        <v/>
      </c>
      <c r="F337" s="11">
        <f>IF($A337="","",IFERROR(INDEX(Products!$F$2:$F$61,MATCH($A337,Products!$A$2:$A$61,0)),"Add to Products"))</f>
        <v/>
      </c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2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3" t="n"/>
      <c r="Y337" s="13" t="n"/>
      <c r="Z337" s="14" t="n"/>
      <c r="AA337" s="10" t="n"/>
      <c r="AB337" s="10" t="n"/>
      <c r="AC337" s="10" t="n"/>
      <c r="AD337" s="10" t="n"/>
      <c r="AE337" s="10" t="n"/>
      <c r="AF337" s="10" t="n"/>
      <c r="AG337" s="13" t="n"/>
    </row>
    <row r="338">
      <c r="A338" s="10" t="n"/>
      <c r="B338" s="11">
        <f>IF($A338="","",IFERROR(INDEX(Products!$B$2:$B$61,MATCH($A338,Products!$A$2:$A$61,0)),"Add to Products"))</f>
        <v/>
      </c>
      <c r="C338" s="11">
        <f>IF($A338="","",IFERROR(INDEX(Products!$C$2:$C$61,MATCH($A338,Products!$A$2:$A$61,0)),"Add to Products"))</f>
        <v/>
      </c>
      <c r="D338" s="11">
        <f>IF($A338="","",IFERROR(INDEX(Products!$D$2:$D$61,MATCH($A338,Products!$A$2:$A$61,0)),"Add to Products"))</f>
        <v/>
      </c>
      <c r="E338" s="11">
        <f>IF($A338="","",IFERROR(INDEX(Products!$E$2:$E$61,MATCH($A338,Products!$A$2:$A$61,0)),"Add to Products"))</f>
        <v/>
      </c>
      <c r="F338" s="11">
        <f>IF($A338="","",IFERROR(INDEX(Products!$F$2:$F$61,MATCH($A338,Products!$A$2:$A$61,0)),"Add to Products"))</f>
        <v/>
      </c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2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3" t="n"/>
      <c r="Y338" s="13" t="n"/>
      <c r="Z338" s="14" t="n"/>
      <c r="AA338" s="10" t="n"/>
      <c r="AB338" s="10" t="n"/>
      <c r="AC338" s="10" t="n"/>
      <c r="AD338" s="10" t="n"/>
      <c r="AE338" s="10" t="n"/>
      <c r="AF338" s="10" t="n"/>
      <c r="AG338" s="13" t="n"/>
    </row>
    <row r="339">
      <c r="A339" s="10" t="n"/>
      <c r="B339" s="11">
        <f>IF($A339="","",IFERROR(INDEX(Products!$B$2:$B$61,MATCH($A339,Products!$A$2:$A$61,0)),"Add to Products"))</f>
        <v/>
      </c>
      <c r="C339" s="11">
        <f>IF($A339="","",IFERROR(INDEX(Products!$C$2:$C$61,MATCH($A339,Products!$A$2:$A$61,0)),"Add to Products"))</f>
        <v/>
      </c>
      <c r="D339" s="11">
        <f>IF($A339="","",IFERROR(INDEX(Products!$D$2:$D$61,MATCH($A339,Products!$A$2:$A$61,0)),"Add to Products"))</f>
        <v/>
      </c>
      <c r="E339" s="11">
        <f>IF($A339="","",IFERROR(INDEX(Products!$E$2:$E$61,MATCH($A339,Products!$A$2:$A$61,0)),"Add to Products"))</f>
        <v/>
      </c>
      <c r="F339" s="11">
        <f>IF($A339="","",IFERROR(INDEX(Products!$F$2:$F$61,MATCH($A339,Products!$A$2:$A$61,0)),"Add to Products"))</f>
        <v/>
      </c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2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3" t="n"/>
      <c r="Y339" s="13" t="n"/>
      <c r="Z339" s="14" t="n"/>
      <c r="AA339" s="10" t="n"/>
      <c r="AB339" s="10" t="n"/>
      <c r="AC339" s="10" t="n"/>
      <c r="AD339" s="10" t="n"/>
      <c r="AE339" s="10" t="n"/>
      <c r="AF339" s="10" t="n"/>
      <c r="AG339" s="13" t="n"/>
    </row>
    <row r="340">
      <c r="A340" s="10" t="n"/>
      <c r="B340" s="11">
        <f>IF($A340="","",IFERROR(INDEX(Products!$B$2:$B$61,MATCH($A340,Products!$A$2:$A$61,0)),"Add to Products"))</f>
        <v/>
      </c>
      <c r="C340" s="11">
        <f>IF($A340="","",IFERROR(INDEX(Products!$C$2:$C$61,MATCH($A340,Products!$A$2:$A$61,0)),"Add to Products"))</f>
        <v/>
      </c>
      <c r="D340" s="11">
        <f>IF($A340="","",IFERROR(INDEX(Products!$D$2:$D$61,MATCH($A340,Products!$A$2:$A$61,0)),"Add to Products"))</f>
        <v/>
      </c>
      <c r="E340" s="11">
        <f>IF($A340="","",IFERROR(INDEX(Products!$E$2:$E$61,MATCH($A340,Products!$A$2:$A$61,0)),"Add to Products"))</f>
        <v/>
      </c>
      <c r="F340" s="11">
        <f>IF($A340="","",IFERROR(INDEX(Products!$F$2:$F$61,MATCH($A340,Products!$A$2:$A$61,0)),"Add to Products"))</f>
        <v/>
      </c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2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3" t="n"/>
      <c r="Y340" s="13" t="n"/>
      <c r="Z340" s="14" t="n"/>
      <c r="AA340" s="10" t="n"/>
      <c r="AB340" s="10" t="n"/>
      <c r="AC340" s="10" t="n"/>
      <c r="AD340" s="10" t="n"/>
      <c r="AE340" s="10" t="n"/>
      <c r="AF340" s="10" t="n"/>
      <c r="AG340" s="13" t="n"/>
    </row>
    <row r="341">
      <c r="A341" s="10" t="n"/>
      <c r="B341" s="11">
        <f>IF($A341="","",IFERROR(INDEX(Products!$B$2:$B$61,MATCH($A341,Products!$A$2:$A$61,0)),"Add to Products"))</f>
        <v/>
      </c>
      <c r="C341" s="11">
        <f>IF($A341="","",IFERROR(INDEX(Products!$C$2:$C$61,MATCH($A341,Products!$A$2:$A$61,0)),"Add to Products"))</f>
        <v/>
      </c>
      <c r="D341" s="11">
        <f>IF($A341="","",IFERROR(INDEX(Products!$D$2:$D$61,MATCH($A341,Products!$A$2:$A$61,0)),"Add to Products"))</f>
        <v/>
      </c>
      <c r="E341" s="11">
        <f>IF($A341="","",IFERROR(INDEX(Products!$E$2:$E$61,MATCH($A341,Products!$A$2:$A$61,0)),"Add to Products"))</f>
        <v/>
      </c>
      <c r="F341" s="11">
        <f>IF($A341="","",IFERROR(INDEX(Products!$F$2:$F$61,MATCH($A341,Products!$A$2:$A$61,0)),"Add to Products"))</f>
        <v/>
      </c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2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3" t="n"/>
      <c r="Y341" s="13" t="n"/>
      <c r="Z341" s="14" t="n"/>
      <c r="AA341" s="10" t="n"/>
      <c r="AB341" s="10" t="n"/>
      <c r="AC341" s="10" t="n"/>
      <c r="AD341" s="10" t="n"/>
      <c r="AE341" s="10" t="n"/>
      <c r="AF341" s="10" t="n"/>
      <c r="AG341" s="13" t="n"/>
    </row>
    <row r="342">
      <c r="A342" s="10" t="n"/>
      <c r="B342" s="11">
        <f>IF($A342="","",IFERROR(INDEX(Products!$B$2:$B$61,MATCH($A342,Products!$A$2:$A$61,0)),"Add to Products"))</f>
        <v/>
      </c>
      <c r="C342" s="11">
        <f>IF($A342="","",IFERROR(INDEX(Products!$C$2:$C$61,MATCH($A342,Products!$A$2:$A$61,0)),"Add to Products"))</f>
        <v/>
      </c>
      <c r="D342" s="11">
        <f>IF($A342="","",IFERROR(INDEX(Products!$D$2:$D$61,MATCH($A342,Products!$A$2:$A$61,0)),"Add to Products"))</f>
        <v/>
      </c>
      <c r="E342" s="11">
        <f>IF($A342="","",IFERROR(INDEX(Products!$E$2:$E$61,MATCH($A342,Products!$A$2:$A$61,0)),"Add to Products"))</f>
        <v/>
      </c>
      <c r="F342" s="11">
        <f>IF($A342="","",IFERROR(INDEX(Products!$F$2:$F$61,MATCH($A342,Products!$A$2:$A$61,0)),"Add to Products"))</f>
        <v/>
      </c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2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3" t="n"/>
      <c r="Y342" s="13" t="n"/>
      <c r="Z342" s="14" t="n"/>
      <c r="AA342" s="10" t="n"/>
      <c r="AB342" s="10" t="n"/>
      <c r="AC342" s="10" t="n"/>
      <c r="AD342" s="10" t="n"/>
      <c r="AE342" s="10" t="n"/>
      <c r="AF342" s="10" t="n"/>
      <c r="AG342" s="13" t="n"/>
    </row>
    <row r="343">
      <c r="A343" s="10" t="n"/>
      <c r="B343" s="11">
        <f>IF($A343="","",IFERROR(INDEX(Products!$B$2:$B$61,MATCH($A343,Products!$A$2:$A$61,0)),"Add to Products"))</f>
        <v/>
      </c>
      <c r="C343" s="11">
        <f>IF($A343="","",IFERROR(INDEX(Products!$C$2:$C$61,MATCH($A343,Products!$A$2:$A$61,0)),"Add to Products"))</f>
        <v/>
      </c>
      <c r="D343" s="11">
        <f>IF($A343="","",IFERROR(INDEX(Products!$D$2:$D$61,MATCH($A343,Products!$A$2:$A$61,0)),"Add to Products"))</f>
        <v/>
      </c>
      <c r="E343" s="11">
        <f>IF($A343="","",IFERROR(INDEX(Products!$E$2:$E$61,MATCH($A343,Products!$A$2:$A$61,0)),"Add to Products"))</f>
        <v/>
      </c>
      <c r="F343" s="11">
        <f>IF($A343="","",IFERROR(INDEX(Products!$F$2:$F$61,MATCH($A343,Products!$A$2:$A$61,0)),"Add to Products"))</f>
        <v/>
      </c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2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3" t="n"/>
      <c r="Y343" s="13" t="n"/>
      <c r="Z343" s="14" t="n"/>
      <c r="AA343" s="10" t="n"/>
      <c r="AB343" s="10" t="n"/>
      <c r="AC343" s="10" t="n"/>
      <c r="AD343" s="10" t="n"/>
      <c r="AE343" s="10" t="n"/>
      <c r="AF343" s="10" t="n"/>
      <c r="AG343" s="13" t="n"/>
    </row>
    <row r="344">
      <c r="A344" s="10" t="n"/>
      <c r="B344" s="11">
        <f>IF($A344="","",IFERROR(INDEX(Products!$B$2:$B$61,MATCH($A344,Products!$A$2:$A$61,0)),"Add to Products"))</f>
        <v/>
      </c>
      <c r="C344" s="11">
        <f>IF($A344="","",IFERROR(INDEX(Products!$C$2:$C$61,MATCH($A344,Products!$A$2:$A$61,0)),"Add to Products"))</f>
        <v/>
      </c>
      <c r="D344" s="11">
        <f>IF($A344="","",IFERROR(INDEX(Products!$D$2:$D$61,MATCH($A344,Products!$A$2:$A$61,0)),"Add to Products"))</f>
        <v/>
      </c>
      <c r="E344" s="11">
        <f>IF($A344="","",IFERROR(INDEX(Products!$E$2:$E$61,MATCH($A344,Products!$A$2:$A$61,0)),"Add to Products"))</f>
        <v/>
      </c>
      <c r="F344" s="11">
        <f>IF($A344="","",IFERROR(INDEX(Products!$F$2:$F$61,MATCH($A344,Products!$A$2:$A$61,0)),"Add to Products"))</f>
        <v/>
      </c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2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3" t="n"/>
      <c r="Y344" s="13" t="n"/>
      <c r="Z344" s="14" t="n"/>
      <c r="AA344" s="10" t="n"/>
      <c r="AB344" s="10" t="n"/>
      <c r="AC344" s="10" t="n"/>
      <c r="AD344" s="10" t="n"/>
      <c r="AE344" s="10" t="n"/>
      <c r="AF344" s="10" t="n"/>
      <c r="AG344" s="13" t="n"/>
    </row>
    <row r="345">
      <c r="A345" s="10" t="n"/>
      <c r="B345" s="11">
        <f>IF($A345="","",IFERROR(INDEX(Products!$B$2:$B$61,MATCH($A345,Products!$A$2:$A$61,0)),"Add to Products"))</f>
        <v/>
      </c>
      <c r="C345" s="11">
        <f>IF($A345="","",IFERROR(INDEX(Products!$C$2:$C$61,MATCH($A345,Products!$A$2:$A$61,0)),"Add to Products"))</f>
        <v/>
      </c>
      <c r="D345" s="11">
        <f>IF($A345="","",IFERROR(INDEX(Products!$D$2:$D$61,MATCH($A345,Products!$A$2:$A$61,0)),"Add to Products"))</f>
        <v/>
      </c>
      <c r="E345" s="11">
        <f>IF($A345="","",IFERROR(INDEX(Products!$E$2:$E$61,MATCH($A345,Products!$A$2:$A$61,0)),"Add to Products"))</f>
        <v/>
      </c>
      <c r="F345" s="11">
        <f>IF($A345="","",IFERROR(INDEX(Products!$F$2:$F$61,MATCH($A345,Products!$A$2:$A$61,0)),"Add to Products"))</f>
        <v/>
      </c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2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3" t="n"/>
      <c r="Y345" s="13" t="n"/>
      <c r="Z345" s="14" t="n"/>
      <c r="AA345" s="10" t="n"/>
      <c r="AB345" s="10" t="n"/>
      <c r="AC345" s="10" t="n"/>
      <c r="AD345" s="10" t="n"/>
      <c r="AE345" s="10" t="n"/>
      <c r="AF345" s="10" t="n"/>
      <c r="AG345" s="13" t="n"/>
    </row>
    <row r="346">
      <c r="A346" s="10" t="n"/>
      <c r="B346" s="11">
        <f>IF($A346="","",IFERROR(INDEX(Products!$B$2:$B$61,MATCH($A346,Products!$A$2:$A$61,0)),"Add to Products"))</f>
        <v/>
      </c>
      <c r="C346" s="11">
        <f>IF($A346="","",IFERROR(INDEX(Products!$C$2:$C$61,MATCH($A346,Products!$A$2:$A$61,0)),"Add to Products"))</f>
        <v/>
      </c>
      <c r="D346" s="11">
        <f>IF($A346="","",IFERROR(INDEX(Products!$D$2:$D$61,MATCH($A346,Products!$A$2:$A$61,0)),"Add to Products"))</f>
        <v/>
      </c>
      <c r="E346" s="11">
        <f>IF($A346="","",IFERROR(INDEX(Products!$E$2:$E$61,MATCH($A346,Products!$A$2:$A$61,0)),"Add to Products"))</f>
        <v/>
      </c>
      <c r="F346" s="11">
        <f>IF($A346="","",IFERROR(INDEX(Products!$F$2:$F$61,MATCH($A346,Products!$A$2:$A$61,0)),"Add to Products"))</f>
        <v/>
      </c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2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3" t="n"/>
      <c r="Y346" s="13" t="n"/>
      <c r="Z346" s="14" t="n"/>
      <c r="AA346" s="10" t="n"/>
      <c r="AB346" s="10" t="n"/>
      <c r="AC346" s="10" t="n"/>
      <c r="AD346" s="10" t="n"/>
      <c r="AE346" s="10" t="n"/>
      <c r="AF346" s="10" t="n"/>
      <c r="AG346" s="13" t="n"/>
    </row>
    <row r="347">
      <c r="A347" s="10" t="n"/>
      <c r="B347" s="11">
        <f>IF($A347="","",IFERROR(INDEX(Products!$B$2:$B$61,MATCH($A347,Products!$A$2:$A$61,0)),"Add to Products"))</f>
        <v/>
      </c>
      <c r="C347" s="11">
        <f>IF($A347="","",IFERROR(INDEX(Products!$C$2:$C$61,MATCH($A347,Products!$A$2:$A$61,0)),"Add to Products"))</f>
        <v/>
      </c>
      <c r="D347" s="11">
        <f>IF($A347="","",IFERROR(INDEX(Products!$D$2:$D$61,MATCH($A347,Products!$A$2:$A$61,0)),"Add to Products"))</f>
        <v/>
      </c>
      <c r="E347" s="11">
        <f>IF($A347="","",IFERROR(INDEX(Products!$E$2:$E$61,MATCH($A347,Products!$A$2:$A$61,0)),"Add to Products"))</f>
        <v/>
      </c>
      <c r="F347" s="11">
        <f>IF($A347="","",IFERROR(INDEX(Products!$F$2:$F$61,MATCH($A347,Products!$A$2:$A$61,0)),"Add to Products"))</f>
        <v/>
      </c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2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3" t="n"/>
      <c r="Y347" s="13" t="n"/>
      <c r="Z347" s="14" t="n"/>
      <c r="AA347" s="10" t="n"/>
      <c r="AB347" s="10" t="n"/>
      <c r="AC347" s="10" t="n"/>
      <c r="AD347" s="10" t="n"/>
      <c r="AE347" s="10" t="n"/>
      <c r="AF347" s="10" t="n"/>
      <c r="AG347" s="13" t="n"/>
    </row>
    <row r="348">
      <c r="A348" s="10" t="n"/>
      <c r="B348" s="11">
        <f>IF($A348="","",IFERROR(INDEX(Products!$B$2:$B$61,MATCH($A348,Products!$A$2:$A$61,0)),"Add to Products"))</f>
        <v/>
      </c>
      <c r="C348" s="11">
        <f>IF($A348="","",IFERROR(INDEX(Products!$C$2:$C$61,MATCH($A348,Products!$A$2:$A$61,0)),"Add to Products"))</f>
        <v/>
      </c>
      <c r="D348" s="11">
        <f>IF($A348="","",IFERROR(INDEX(Products!$D$2:$D$61,MATCH($A348,Products!$A$2:$A$61,0)),"Add to Products"))</f>
        <v/>
      </c>
      <c r="E348" s="11">
        <f>IF($A348="","",IFERROR(INDEX(Products!$E$2:$E$61,MATCH($A348,Products!$A$2:$A$61,0)),"Add to Products"))</f>
        <v/>
      </c>
      <c r="F348" s="11">
        <f>IF($A348="","",IFERROR(INDEX(Products!$F$2:$F$61,MATCH($A348,Products!$A$2:$A$61,0)),"Add to Products"))</f>
        <v/>
      </c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2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3" t="n"/>
      <c r="Y348" s="13" t="n"/>
      <c r="Z348" s="14" t="n"/>
      <c r="AA348" s="10" t="n"/>
      <c r="AB348" s="10" t="n"/>
      <c r="AC348" s="10" t="n"/>
      <c r="AD348" s="10" t="n"/>
      <c r="AE348" s="10" t="n"/>
      <c r="AF348" s="10" t="n"/>
      <c r="AG348" s="13" t="n"/>
    </row>
    <row r="349">
      <c r="A349" s="10" t="n"/>
      <c r="B349" s="11">
        <f>IF($A349="","",IFERROR(INDEX(Products!$B$2:$B$61,MATCH($A349,Products!$A$2:$A$61,0)),"Add to Products"))</f>
        <v/>
      </c>
      <c r="C349" s="11">
        <f>IF($A349="","",IFERROR(INDEX(Products!$C$2:$C$61,MATCH($A349,Products!$A$2:$A$61,0)),"Add to Products"))</f>
        <v/>
      </c>
      <c r="D349" s="11">
        <f>IF($A349="","",IFERROR(INDEX(Products!$D$2:$D$61,MATCH($A349,Products!$A$2:$A$61,0)),"Add to Products"))</f>
        <v/>
      </c>
      <c r="E349" s="11">
        <f>IF($A349="","",IFERROR(INDEX(Products!$E$2:$E$61,MATCH($A349,Products!$A$2:$A$61,0)),"Add to Products"))</f>
        <v/>
      </c>
      <c r="F349" s="11">
        <f>IF($A349="","",IFERROR(INDEX(Products!$F$2:$F$61,MATCH($A349,Products!$A$2:$A$61,0)),"Add to Products"))</f>
        <v/>
      </c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2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3" t="n"/>
      <c r="Y349" s="13" t="n"/>
      <c r="Z349" s="14" t="n"/>
      <c r="AA349" s="10" t="n"/>
      <c r="AB349" s="10" t="n"/>
      <c r="AC349" s="10" t="n"/>
      <c r="AD349" s="10" t="n"/>
      <c r="AE349" s="10" t="n"/>
      <c r="AF349" s="10" t="n"/>
      <c r="AG349" s="13" t="n"/>
    </row>
    <row r="350">
      <c r="A350" s="10" t="n"/>
      <c r="B350" s="11">
        <f>IF($A350="","",IFERROR(INDEX(Products!$B$2:$B$61,MATCH($A350,Products!$A$2:$A$61,0)),"Add to Products"))</f>
        <v/>
      </c>
      <c r="C350" s="11">
        <f>IF($A350="","",IFERROR(INDEX(Products!$C$2:$C$61,MATCH($A350,Products!$A$2:$A$61,0)),"Add to Products"))</f>
        <v/>
      </c>
      <c r="D350" s="11">
        <f>IF($A350="","",IFERROR(INDEX(Products!$D$2:$D$61,MATCH($A350,Products!$A$2:$A$61,0)),"Add to Products"))</f>
        <v/>
      </c>
      <c r="E350" s="11">
        <f>IF($A350="","",IFERROR(INDEX(Products!$E$2:$E$61,MATCH($A350,Products!$A$2:$A$61,0)),"Add to Products"))</f>
        <v/>
      </c>
      <c r="F350" s="11">
        <f>IF($A350="","",IFERROR(INDEX(Products!$F$2:$F$61,MATCH($A350,Products!$A$2:$A$61,0)),"Add to Products"))</f>
        <v/>
      </c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2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3" t="n"/>
      <c r="Y350" s="13" t="n"/>
      <c r="Z350" s="14" t="n"/>
      <c r="AA350" s="10" t="n"/>
      <c r="AB350" s="10" t="n"/>
      <c r="AC350" s="10" t="n"/>
      <c r="AD350" s="10" t="n"/>
      <c r="AE350" s="10" t="n"/>
      <c r="AF350" s="10" t="n"/>
      <c r="AG350" s="13" t="n"/>
    </row>
    <row r="351">
      <c r="A351" s="10" t="n"/>
      <c r="B351" s="11">
        <f>IF($A351="","",IFERROR(INDEX(Products!$B$2:$B$61,MATCH($A351,Products!$A$2:$A$61,0)),"Add to Products"))</f>
        <v/>
      </c>
      <c r="C351" s="11">
        <f>IF($A351="","",IFERROR(INDEX(Products!$C$2:$C$61,MATCH($A351,Products!$A$2:$A$61,0)),"Add to Products"))</f>
        <v/>
      </c>
      <c r="D351" s="11">
        <f>IF($A351="","",IFERROR(INDEX(Products!$D$2:$D$61,MATCH($A351,Products!$A$2:$A$61,0)),"Add to Products"))</f>
        <v/>
      </c>
      <c r="E351" s="11">
        <f>IF($A351="","",IFERROR(INDEX(Products!$E$2:$E$61,MATCH($A351,Products!$A$2:$A$61,0)),"Add to Products"))</f>
        <v/>
      </c>
      <c r="F351" s="11">
        <f>IF($A351="","",IFERROR(INDEX(Products!$F$2:$F$61,MATCH($A351,Products!$A$2:$A$61,0)),"Add to Products"))</f>
        <v/>
      </c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2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3" t="n"/>
      <c r="Y351" s="13" t="n"/>
      <c r="Z351" s="14" t="n"/>
      <c r="AA351" s="10" t="n"/>
      <c r="AB351" s="10" t="n"/>
      <c r="AC351" s="10" t="n"/>
      <c r="AD351" s="10" t="n"/>
      <c r="AE351" s="10" t="n"/>
      <c r="AF351" s="10" t="n"/>
      <c r="AG351" s="13" t="n"/>
    </row>
    <row r="352">
      <c r="A352" s="10" t="n"/>
      <c r="B352" s="11">
        <f>IF($A352="","",IFERROR(INDEX(Products!$B$2:$B$61,MATCH($A352,Products!$A$2:$A$61,0)),"Add to Products"))</f>
        <v/>
      </c>
      <c r="C352" s="11">
        <f>IF($A352="","",IFERROR(INDEX(Products!$C$2:$C$61,MATCH($A352,Products!$A$2:$A$61,0)),"Add to Products"))</f>
        <v/>
      </c>
      <c r="D352" s="11">
        <f>IF($A352="","",IFERROR(INDEX(Products!$D$2:$D$61,MATCH($A352,Products!$A$2:$A$61,0)),"Add to Products"))</f>
        <v/>
      </c>
      <c r="E352" s="11">
        <f>IF($A352="","",IFERROR(INDEX(Products!$E$2:$E$61,MATCH($A352,Products!$A$2:$A$61,0)),"Add to Products"))</f>
        <v/>
      </c>
      <c r="F352" s="11">
        <f>IF($A352="","",IFERROR(INDEX(Products!$F$2:$F$61,MATCH($A352,Products!$A$2:$A$61,0)),"Add to Products"))</f>
        <v/>
      </c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2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3" t="n"/>
      <c r="Y352" s="13" t="n"/>
      <c r="Z352" s="14" t="n"/>
      <c r="AA352" s="10" t="n"/>
      <c r="AB352" s="10" t="n"/>
      <c r="AC352" s="10" t="n"/>
      <c r="AD352" s="10" t="n"/>
      <c r="AE352" s="10" t="n"/>
      <c r="AF352" s="10" t="n"/>
      <c r="AG352" s="13" t="n"/>
    </row>
    <row r="353">
      <c r="A353" s="10" t="n"/>
      <c r="B353" s="11">
        <f>IF($A353="","",IFERROR(INDEX(Products!$B$2:$B$61,MATCH($A353,Products!$A$2:$A$61,0)),"Add to Products"))</f>
        <v/>
      </c>
      <c r="C353" s="11">
        <f>IF($A353="","",IFERROR(INDEX(Products!$C$2:$C$61,MATCH($A353,Products!$A$2:$A$61,0)),"Add to Products"))</f>
        <v/>
      </c>
      <c r="D353" s="11">
        <f>IF($A353="","",IFERROR(INDEX(Products!$D$2:$D$61,MATCH($A353,Products!$A$2:$A$61,0)),"Add to Products"))</f>
        <v/>
      </c>
      <c r="E353" s="11">
        <f>IF($A353="","",IFERROR(INDEX(Products!$E$2:$E$61,MATCH($A353,Products!$A$2:$A$61,0)),"Add to Products"))</f>
        <v/>
      </c>
      <c r="F353" s="11">
        <f>IF($A353="","",IFERROR(INDEX(Products!$F$2:$F$61,MATCH($A353,Products!$A$2:$A$61,0)),"Add to Products"))</f>
        <v/>
      </c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2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3" t="n"/>
      <c r="Y353" s="13" t="n"/>
      <c r="Z353" s="14" t="n"/>
      <c r="AA353" s="10" t="n"/>
      <c r="AB353" s="10" t="n"/>
      <c r="AC353" s="10" t="n"/>
      <c r="AD353" s="10" t="n"/>
      <c r="AE353" s="10" t="n"/>
      <c r="AF353" s="10" t="n"/>
      <c r="AG353" s="13" t="n"/>
    </row>
    <row r="354">
      <c r="A354" s="10" t="n"/>
      <c r="B354" s="11">
        <f>IF($A354="","",IFERROR(INDEX(Products!$B$2:$B$61,MATCH($A354,Products!$A$2:$A$61,0)),"Add to Products"))</f>
        <v/>
      </c>
      <c r="C354" s="11">
        <f>IF($A354="","",IFERROR(INDEX(Products!$C$2:$C$61,MATCH($A354,Products!$A$2:$A$61,0)),"Add to Products"))</f>
        <v/>
      </c>
      <c r="D354" s="11">
        <f>IF($A354="","",IFERROR(INDEX(Products!$D$2:$D$61,MATCH($A354,Products!$A$2:$A$61,0)),"Add to Products"))</f>
        <v/>
      </c>
      <c r="E354" s="11">
        <f>IF($A354="","",IFERROR(INDEX(Products!$E$2:$E$61,MATCH($A354,Products!$A$2:$A$61,0)),"Add to Products"))</f>
        <v/>
      </c>
      <c r="F354" s="11">
        <f>IF($A354="","",IFERROR(INDEX(Products!$F$2:$F$61,MATCH($A354,Products!$A$2:$A$61,0)),"Add to Products"))</f>
        <v/>
      </c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2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3" t="n"/>
      <c r="Y354" s="13" t="n"/>
      <c r="Z354" s="14" t="n"/>
      <c r="AA354" s="10" t="n"/>
      <c r="AB354" s="10" t="n"/>
      <c r="AC354" s="10" t="n"/>
      <c r="AD354" s="10" t="n"/>
      <c r="AE354" s="10" t="n"/>
      <c r="AF354" s="10" t="n"/>
      <c r="AG354" s="13" t="n"/>
    </row>
    <row r="355">
      <c r="A355" s="10" t="n"/>
      <c r="B355" s="11">
        <f>IF($A355="","",IFERROR(INDEX(Products!$B$2:$B$61,MATCH($A355,Products!$A$2:$A$61,0)),"Add to Products"))</f>
        <v/>
      </c>
      <c r="C355" s="11">
        <f>IF($A355="","",IFERROR(INDEX(Products!$C$2:$C$61,MATCH($A355,Products!$A$2:$A$61,0)),"Add to Products"))</f>
        <v/>
      </c>
      <c r="D355" s="11">
        <f>IF($A355="","",IFERROR(INDEX(Products!$D$2:$D$61,MATCH($A355,Products!$A$2:$A$61,0)),"Add to Products"))</f>
        <v/>
      </c>
      <c r="E355" s="11">
        <f>IF($A355="","",IFERROR(INDEX(Products!$E$2:$E$61,MATCH($A355,Products!$A$2:$A$61,0)),"Add to Products"))</f>
        <v/>
      </c>
      <c r="F355" s="11">
        <f>IF($A355="","",IFERROR(INDEX(Products!$F$2:$F$61,MATCH($A355,Products!$A$2:$A$61,0)),"Add to Products"))</f>
        <v/>
      </c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2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3" t="n"/>
      <c r="Y355" s="13" t="n"/>
      <c r="Z355" s="14" t="n"/>
      <c r="AA355" s="10" t="n"/>
      <c r="AB355" s="10" t="n"/>
      <c r="AC355" s="10" t="n"/>
      <c r="AD355" s="10" t="n"/>
      <c r="AE355" s="10" t="n"/>
      <c r="AF355" s="10" t="n"/>
      <c r="AG355" s="13" t="n"/>
    </row>
    <row r="356">
      <c r="A356" s="10" t="n"/>
      <c r="B356" s="11">
        <f>IF($A356="","",IFERROR(INDEX(Products!$B$2:$B$61,MATCH($A356,Products!$A$2:$A$61,0)),"Add to Products"))</f>
        <v/>
      </c>
      <c r="C356" s="11">
        <f>IF($A356="","",IFERROR(INDEX(Products!$C$2:$C$61,MATCH($A356,Products!$A$2:$A$61,0)),"Add to Products"))</f>
        <v/>
      </c>
      <c r="D356" s="11">
        <f>IF($A356="","",IFERROR(INDEX(Products!$D$2:$D$61,MATCH($A356,Products!$A$2:$A$61,0)),"Add to Products"))</f>
        <v/>
      </c>
      <c r="E356" s="11">
        <f>IF($A356="","",IFERROR(INDEX(Products!$E$2:$E$61,MATCH($A356,Products!$A$2:$A$61,0)),"Add to Products"))</f>
        <v/>
      </c>
      <c r="F356" s="11">
        <f>IF($A356="","",IFERROR(INDEX(Products!$F$2:$F$61,MATCH($A356,Products!$A$2:$A$61,0)),"Add to Products"))</f>
        <v/>
      </c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2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3" t="n"/>
      <c r="Y356" s="13" t="n"/>
      <c r="Z356" s="14" t="n"/>
      <c r="AA356" s="10" t="n"/>
      <c r="AB356" s="10" t="n"/>
      <c r="AC356" s="10" t="n"/>
      <c r="AD356" s="10" t="n"/>
      <c r="AE356" s="10" t="n"/>
      <c r="AF356" s="10" t="n"/>
      <c r="AG356" s="13" t="n"/>
    </row>
    <row r="357">
      <c r="A357" s="10" t="n"/>
      <c r="B357" s="11">
        <f>IF($A357="","",IFERROR(INDEX(Products!$B$2:$B$61,MATCH($A357,Products!$A$2:$A$61,0)),"Add to Products"))</f>
        <v/>
      </c>
      <c r="C357" s="11">
        <f>IF($A357="","",IFERROR(INDEX(Products!$C$2:$C$61,MATCH($A357,Products!$A$2:$A$61,0)),"Add to Products"))</f>
        <v/>
      </c>
      <c r="D357" s="11">
        <f>IF($A357="","",IFERROR(INDEX(Products!$D$2:$D$61,MATCH($A357,Products!$A$2:$A$61,0)),"Add to Products"))</f>
        <v/>
      </c>
      <c r="E357" s="11">
        <f>IF($A357="","",IFERROR(INDEX(Products!$E$2:$E$61,MATCH($A357,Products!$A$2:$A$61,0)),"Add to Products"))</f>
        <v/>
      </c>
      <c r="F357" s="11">
        <f>IF($A357="","",IFERROR(INDEX(Products!$F$2:$F$61,MATCH($A357,Products!$A$2:$A$61,0)),"Add to Products"))</f>
        <v/>
      </c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2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3" t="n"/>
      <c r="Y357" s="13" t="n"/>
      <c r="Z357" s="14" t="n"/>
      <c r="AA357" s="10" t="n"/>
      <c r="AB357" s="10" t="n"/>
      <c r="AC357" s="10" t="n"/>
      <c r="AD357" s="10" t="n"/>
      <c r="AE357" s="10" t="n"/>
      <c r="AF357" s="10" t="n"/>
      <c r="AG357" s="13" t="n"/>
    </row>
    <row r="358">
      <c r="A358" s="10" t="n"/>
      <c r="B358" s="11">
        <f>IF($A358="","",IFERROR(INDEX(Products!$B$2:$B$61,MATCH($A358,Products!$A$2:$A$61,0)),"Add to Products"))</f>
        <v/>
      </c>
      <c r="C358" s="11">
        <f>IF($A358="","",IFERROR(INDEX(Products!$C$2:$C$61,MATCH($A358,Products!$A$2:$A$61,0)),"Add to Products"))</f>
        <v/>
      </c>
      <c r="D358" s="11">
        <f>IF($A358="","",IFERROR(INDEX(Products!$D$2:$D$61,MATCH($A358,Products!$A$2:$A$61,0)),"Add to Products"))</f>
        <v/>
      </c>
      <c r="E358" s="11">
        <f>IF($A358="","",IFERROR(INDEX(Products!$E$2:$E$61,MATCH($A358,Products!$A$2:$A$61,0)),"Add to Products"))</f>
        <v/>
      </c>
      <c r="F358" s="11">
        <f>IF($A358="","",IFERROR(INDEX(Products!$F$2:$F$61,MATCH($A358,Products!$A$2:$A$61,0)),"Add to Products"))</f>
        <v/>
      </c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2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3" t="n"/>
      <c r="Y358" s="13" t="n"/>
      <c r="Z358" s="14" t="n"/>
      <c r="AA358" s="10" t="n"/>
      <c r="AB358" s="10" t="n"/>
      <c r="AC358" s="10" t="n"/>
      <c r="AD358" s="10" t="n"/>
      <c r="AE358" s="10" t="n"/>
      <c r="AF358" s="10" t="n"/>
      <c r="AG358" s="13" t="n"/>
    </row>
    <row r="359">
      <c r="A359" s="10" t="n"/>
      <c r="B359" s="11">
        <f>IF($A359="","",IFERROR(INDEX(Products!$B$2:$B$61,MATCH($A359,Products!$A$2:$A$61,0)),"Add to Products"))</f>
        <v/>
      </c>
      <c r="C359" s="11">
        <f>IF($A359="","",IFERROR(INDEX(Products!$C$2:$C$61,MATCH($A359,Products!$A$2:$A$61,0)),"Add to Products"))</f>
        <v/>
      </c>
      <c r="D359" s="11">
        <f>IF($A359="","",IFERROR(INDEX(Products!$D$2:$D$61,MATCH($A359,Products!$A$2:$A$61,0)),"Add to Products"))</f>
        <v/>
      </c>
      <c r="E359" s="11">
        <f>IF($A359="","",IFERROR(INDEX(Products!$E$2:$E$61,MATCH($A359,Products!$A$2:$A$61,0)),"Add to Products"))</f>
        <v/>
      </c>
      <c r="F359" s="11">
        <f>IF($A359="","",IFERROR(INDEX(Products!$F$2:$F$61,MATCH($A359,Products!$A$2:$A$61,0)),"Add to Products"))</f>
        <v/>
      </c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2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3" t="n"/>
      <c r="Y359" s="13" t="n"/>
      <c r="Z359" s="14" t="n"/>
      <c r="AA359" s="10" t="n"/>
      <c r="AB359" s="10" t="n"/>
      <c r="AC359" s="10" t="n"/>
      <c r="AD359" s="10" t="n"/>
      <c r="AE359" s="10" t="n"/>
      <c r="AF359" s="10" t="n"/>
      <c r="AG359" s="13" t="n"/>
    </row>
    <row r="360">
      <c r="A360" s="10" t="n"/>
      <c r="B360" s="11">
        <f>IF($A360="","",IFERROR(INDEX(Products!$B$2:$B$61,MATCH($A360,Products!$A$2:$A$61,0)),"Add to Products"))</f>
        <v/>
      </c>
      <c r="C360" s="11">
        <f>IF($A360="","",IFERROR(INDEX(Products!$C$2:$C$61,MATCH($A360,Products!$A$2:$A$61,0)),"Add to Products"))</f>
        <v/>
      </c>
      <c r="D360" s="11">
        <f>IF($A360="","",IFERROR(INDEX(Products!$D$2:$D$61,MATCH($A360,Products!$A$2:$A$61,0)),"Add to Products"))</f>
        <v/>
      </c>
      <c r="E360" s="11">
        <f>IF($A360="","",IFERROR(INDEX(Products!$E$2:$E$61,MATCH($A360,Products!$A$2:$A$61,0)),"Add to Products"))</f>
        <v/>
      </c>
      <c r="F360" s="11">
        <f>IF($A360="","",IFERROR(INDEX(Products!$F$2:$F$61,MATCH($A360,Products!$A$2:$A$61,0)),"Add to Products"))</f>
        <v/>
      </c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2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3" t="n"/>
      <c r="Y360" s="13" t="n"/>
      <c r="Z360" s="14" t="n"/>
      <c r="AA360" s="10" t="n"/>
      <c r="AB360" s="10" t="n"/>
      <c r="AC360" s="10" t="n"/>
      <c r="AD360" s="10" t="n"/>
      <c r="AE360" s="10" t="n"/>
      <c r="AF360" s="10" t="n"/>
      <c r="AG360" s="13" t="n"/>
    </row>
    <row r="361">
      <c r="A361" s="10" t="n"/>
      <c r="B361" s="11">
        <f>IF($A361="","",IFERROR(INDEX(Products!$B$2:$B$61,MATCH($A361,Products!$A$2:$A$61,0)),"Add to Products"))</f>
        <v/>
      </c>
      <c r="C361" s="11">
        <f>IF($A361="","",IFERROR(INDEX(Products!$C$2:$C$61,MATCH($A361,Products!$A$2:$A$61,0)),"Add to Products"))</f>
        <v/>
      </c>
      <c r="D361" s="11">
        <f>IF($A361="","",IFERROR(INDEX(Products!$D$2:$D$61,MATCH($A361,Products!$A$2:$A$61,0)),"Add to Products"))</f>
        <v/>
      </c>
      <c r="E361" s="11">
        <f>IF($A361="","",IFERROR(INDEX(Products!$E$2:$E$61,MATCH($A361,Products!$A$2:$A$61,0)),"Add to Products"))</f>
        <v/>
      </c>
      <c r="F361" s="11">
        <f>IF($A361="","",IFERROR(INDEX(Products!$F$2:$F$61,MATCH($A361,Products!$A$2:$A$61,0)),"Add to Products"))</f>
        <v/>
      </c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2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3" t="n"/>
      <c r="Y361" s="13" t="n"/>
      <c r="Z361" s="14" t="n"/>
      <c r="AA361" s="10" t="n"/>
      <c r="AB361" s="10" t="n"/>
      <c r="AC361" s="10" t="n"/>
      <c r="AD361" s="10" t="n"/>
      <c r="AE361" s="10" t="n"/>
      <c r="AF361" s="10" t="n"/>
      <c r="AG361" s="13" t="n"/>
    </row>
    <row r="362">
      <c r="A362" s="10" t="n"/>
      <c r="B362" s="11">
        <f>IF($A362="","",IFERROR(INDEX(Products!$B$2:$B$61,MATCH($A362,Products!$A$2:$A$61,0)),"Add to Products"))</f>
        <v/>
      </c>
      <c r="C362" s="11">
        <f>IF($A362="","",IFERROR(INDEX(Products!$C$2:$C$61,MATCH($A362,Products!$A$2:$A$61,0)),"Add to Products"))</f>
        <v/>
      </c>
      <c r="D362" s="11">
        <f>IF($A362="","",IFERROR(INDEX(Products!$D$2:$D$61,MATCH($A362,Products!$A$2:$A$61,0)),"Add to Products"))</f>
        <v/>
      </c>
      <c r="E362" s="11">
        <f>IF($A362="","",IFERROR(INDEX(Products!$E$2:$E$61,MATCH($A362,Products!$A$2:$A$61,0)),"Add to Products"))</f>
        <v/>
      </c>
      <c r="F362" s="11">
        <f>IF($A362="","",IFERROR(INDEX(Products!$F$2:$F$61,MATCH($A362,Products!$A$2:$A$61,0)),"Add to Products"))</f>
        <v/>
      </c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2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3" t="n"/>
      <c r="Y362" s="13" t="n"/>
      <c r="Z362" s="14" t="n"/>
      <c r="AA362" s="10" t="n"/>
      <c r="AB362" s="10" t="n"/>
      <c r="AC362" s="10" t="n"/>
      <c r="AD362" s="10" t="n"/>
      <c r="AE362" s="10" t="n"/>
      <c r="AF362" s="10" t="n"/>
      <c r="AG362" s="13" t="n"/>
    </row>
    <row r="363">
      <c r="A363" s="10" t="n"/>
      <c r="B363" s="11">
        <f>IF($A363="","",IFERROR(INDEX(Products!$B$2:$B$61,MATCH($A363,Products!$A$2:$A$61,0)),"Add to Products"))</f>
        <v/>
      </c>
      <c r="C363" s="11">
        <f>IF($A363="","",IFERROR(INDEX(Products!$C$2:$C$61,MATCH($A363,Products!$A$2:$A$61,0)),"Add to Products"))</f>
        <v/>
      </c>
      <c r="D363" s="11">
        <f>IF($A363="","",IFERROR(INDEX(Products!$D$2:$D$61,MATCH($A363,Products!$A$2:$A$61,0)),"Add to Products"))</f>
        <v/>
      </c>
      <c r="E363" s="11">
        <f>IF($A363="","",IFERROR(INDEX(Products!$E$2:$E$61,MATCH($A363,Products!$A$2:$A$61,0)),"Add to Products"))</f>
        <v/>
      </c>
      <c r="F363" s="11">
        <f>IF($A363="","",IFERROR(INDEX(Products!$F$2:$F$61,MATCH($A363,Products!$A$2:$A$61,0)),"Add to Products"))</f>
        <v/>
      </c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2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3" t="n"/>
      <c r="Y363" s="13" t="n"/>
      <c r="Z363" s="14" t="n"/>
      <c r="AA363" s="10" t="n"/>
      <c r="AB363" s="10" t="n"/>
      <c r="AC363" s="10" t="n"/>
      <c r="AD363" s="10" t="n"/>
      <c r="AE363" s="10" t="n"/>
      <c r="AF363" s="10" t="n"/>
      <c r="AG363" s="13" t="n"/>
    </row>
    <row r="364">
      <c r="A364" s="10" t="n"/>
      <c r="B364" s="11">
        <f>IF($A364="","",IFERROR(INDEX(Products!$B$2:$B$61,MATCH($A364,Products!$A$2:$A$61,0)),"Add to Products"))</f>
        <v/>
      </c>
      <c r="C364" s="11">
        <f>IF($A364="","",IFERROR(INDEX(Products!$C$2:$C$61,MATCH($A364,Products!$A$2:$A$61,0)),"Add to Products"))</f>
        <v/>
      </c>
      <c r="D364" s="11">
        <f>IF($A364="","",IFERROR(INDEX(Products!$D$2:$D$61,MATCH($A364,Products!$A$2:$A$61,0)),"Add to Products"))</f>
        <v/>
      </c>
      <c r="E364" s="11">
        <f>IF($A364="","",IFERROR(INDEX(Products!$E$2:$E$61,MATCH($A364,Products!$A$2:$A$61,0)),"Add to Products"))</f>
        <v/>
      </c>
      <c r="F364" s="11">
        <f>IF($A364="","",IFERROR(INDEX(Products!$F$2:$F$61,MATCH($A364,Products!$A$2:$A$61,0)),"Add to Products"))</f>
        <v/>
      </c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2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3" t="n"/>
      <c r="Y364" s="13" t="n"/>
      <c r="Z364" s="14" t="n"/>
      <c r="AA364" s="10" t="n"/>
      <c r="AB364" s="10" t="n"/>
      <c r="AC364" s="10" t="n"/>
      <c r="AD364" s="10" t="n"/>
      <c r="AE364" s="10" t="n"/>
      <c r="AF364" s="10" t="n"/>
      <c r="AG364" s="13" t="n"/>
    </row>
    <row r="365">
      <c r="A365" s="10" t="n"/>
      <c r="B365" s="11">
        <f>IF($A365="","",IFERROR(INDEX(Products!$B$2:$B$61,MATCH($A365,Products!$A$2:$A$61,0)),"Add to Products"))</f>
        <v/>
      </c>
      <c r="C365" s="11">
        <f>IF($A365="","",IFERROR(INDEX(Products!$C$2:$C$61,MATCH($A365,Products!$A$2:$A$61,0)),"Add to Products"))</f>
        <v/>
      </c>
      <c r="D365" s="11">
        <f>IF($A365="","",IFERROR(INDEX(Products!$D$2:$D$61,MATCH($A365,Products!$A$2:$A$61,0)),"Add to Products"))</f>
        <v/>
      </c>
      <c r="E365" s="11">
        <f>IF($A365="","",IFERROR(INDEX(Products!$E$2:$E$61,MATCH($A365,Products!$A$2:$A$61,0)),"Add to Products"))</f>
        <v/>
      </c>
      <c r="F365" s="11">
        <f>IF($A365="","",IFERROR(INDEX(Products!$F$2:$F$61,MATCH($A365,Products!$A$2:$A$61,0)),"Add to Products"))</f>
        <v/>
      </c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2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3" t="n"/>
      <c r="Y365" s="13" t="n"/>
      <c r="Z365" s="14" t="n"/>
      <c r="AA365" s="10" t="n"/>
      <c r="AB365" s="10" t="n"/>
      <c r="AC365" s="10" t="n"/>
      <c r="AD365" s="10" t="n"/>
      <c r="AE365" s="10" t="n"/>
      <c r="AF365" s="10" t="n"/>
      <c r="AG365" s="13" t="n"/>
    </row>
    <row r="366">
      <c r="A366" s="10" t="n"/>
      <c r="B366" s="11">
        <f>IF($A366="","",IFERROR(INDEX(Products!$B$2:$B$61,MATCH($A366,Products!$A$2:$A$61,0)),"Add to Products"))</f>
        <v/>
      </c>
      <c r="C366" s="11">
        <f>IF($A366="","",IFERROR(INDEX(Products!$C$2:$C$61,MATCH($A366,Products!$A$2:$A$61,0)),"Add to Products"))</f>
        <v/>
      </c>
      <c r="D366" s="11">
        <f>IF($A366="","",IFERROR(INDEX(Products!$D$2:$D$61,MATCH($A366,Products!$A$2:$A$61,0)),"Add to Products"))</f>
        <v/>
      </c>
      <c r="E366" s="11">
        <f>IF($A366="","",IFERROR(INDEX(Products!$E$2:$E$61,MATCH($A366,Products!$A$2:$A$61,0)),"Add to Products"))</f>
        <v/>
      </c>
      <c r="F366" s="11">
        <f>IF($A366="","",IFERROR(INDEX(Products!$F$2:$F$61,MATCH($A366,Products!$A$2:$A$61,0)),"Add to Products"))</f>
        <v/>
      </c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2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3" t="n"/>
      <c r="Y366" s="13" t="n"/>
      <c r="Z366" s="14" t="n"/>
      <c r="AA366" s="10" t="n"/>
      <c r="AB366" s="10" t="n"/>
      <c r="AC366" s="10" t="n"/>
      <c r="AD366" s="10" t="n"/>
      <c r="AE366" s="10" t="n"/>
      <c r="AF366" s="10" t="n"/>
      <c r="AG366" s="13" t="n"/>
    </row>
    <row r="367">
      <c r="A367" s="10" t="n"/>
      <c r="B367" s="11">
        <f>IF($A367="","",IFERROR(INDEX(Products!$B$2:$B$61,MATCH($A367,Products!$A$2:$A$61,0)),"Add to Products"))</f>
        <v/>
      </c>
      <c r="C367" s="11">
        <f>IF($A367="","",IFERROR(INDEX(Products!$C$2:$C$61,MATCH($A367,Products!$A$2:$A$61,0)),"Add to Products"))</f>
        <v/>
      </c>
      <c r="D367" s="11">
        <f>IF($A367="","",IFERROR(INDEX(Products!$D$2:$D$61,MATCH($A367,Products!$A$2:$A$61,0)),"Add to Products"))</f>
        <v/>
      </c>
      <c r="E367" s="11">
        <f>IF($A367="","",IFERROR(INDEX(Products!$E$2:$E$61,MATCH($A367,Products!$A$2:$A$61,0)),"Add to Products"))</f>
        <v/>
      </c>
      <c r="F367" s="11">
        <f>IF($A367="","",IFERROR(INDEX(Products!$F$2:$F$61,MATCH($A367,Products!$A$2:$A$61,0)),"Add to Products"))</f>
        <v/>
      </c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2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3" t="n"/>
      <c r="Y367" s="13" t="n"/>
      <c r="Z367" s="14" t="n"/>
      <c r="AA367" s="10" t="n"/>
      <c r="AB367" s="10" t="n"/>
      <c r="AC367" s="10" t="n"/>
      <c r="AD367" s="10" t="n"/>
      <c r="AE367" s="10" t="n"/>
      <c r="AF367" s="10" t="n"/>
      <c r="AG367" s="13" t="n"/>
    </row>
    <row r="368">
      <c r="A368" s="10" t="n"/>
      <c r="B368" s="11">
        <f>IF($A368="","",IFERROR(INDEX(Products!$B$2:$B$61,MATCH($A368,Products!$A$2:$A$61,0)),"Add to Products"))</f>
        <v/>
      </c>
      <c r="C368" s="11">
        <f>IF($A368="","",IFERROR(INDEX(Products!$C$2:$C$61,MATCH($A368,Products!$A$2:$A$61,0)),"Add to Products"))</f>
        <v/>
      </c>
      <c r="D368" s="11">
        <f>IF($A368="","",IFERROR(INDEX(Products!$D$2:$D$61,MATCH($A368,Products!$A$2:$A$61,0)),"Add to Products"))</f>
        <v/>
      </c>
      <c r="E368" s="11">
        <f>IF($A368="","",IFERROR(INDEX(Products!$E$2:$E$61,MATCH($A368,Products!$A$2:$A$61,0)),"Add to Products"))</f>
        <v/>
      </c>
      <c r="F368" s="11">
        <f>IF($A368="","",IFERROR(INDEX(Products!$F$2:$F$61,MATCH($A368,Products!$A$2:$A$61,0)),"Add to Products"))</f>
        <v/>
      </c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2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3" t="n"/>
      <c r="Y368" s="13" t="n"/>
      <c r="Z368" s="14" t="n"/>
      <c r="AA368" s="10" t="n"/>
      <c r="AB368" s="10" t="n"/>
      <c r="AC368" s="10" t="n"/>
      <c r="AD368" s="10" t="n"/>
      <c r="AE368" s="10" t="n"/>
      <c r="AF368" s="10" t="n"/>
      <c r="AG368" s="13" t="n"/>
    </row>
    <row r="369">
      <c r="A369" s="10" t="n"/>
      <c r="B369" s="11">
        <f>IF($A369="","",IFERROR(INDEX(Products!$B$2:$B$61,MATCH($A369,Products!$A$2:$A$61,0)),"Add to Products"))</f>
        <v/>
      </c>
      <c r="C369" s="11">
        <f>IF($A369="","",IFERROR(INDEX(Products!$C$2:$C$61,MATCH($A369,Products!$A$2:$A$61,0)),"Add to Products"))</f>
        <v/>
      </c>
      <c r="D369" s="11">
        <f>IF($A369="","",IFERROR(INDEX(Products!$D$2:$D$61,MATCH($A369,Products!$A$2:$A$61,0)),"Add to Products"))</f>
        <v/>
      </c>
      <c r="E369" s="11">
        <f>IF($A369="","",IFERROR(INDEX(Products!$E$2:$E$61,MATCH($A369,Products!$A$2:$A$61,0)),"Add to Products"))</f>
        <v/>
      </c>
      <c r="F369" s="11">
        <f>IF($A369="","",IFERROR(INDEX(Products!$F$2:$F$61,MATCH($A369,Products!$A$2:$A$61,0)),"Add to Products"))</f>
        <v/>
      </c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2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3" t="n"/>
      <c r="Y369" s="13" t="n"/>
      <c r="Z369" s="14" t="n"/>
      <c r="AA369" s="10" t="n"/>
      <c r="AB369" s="10" t="n"/>
      <c r="AC369" s="10" t="n"/>
      <c r="AD369" s="10" t="n"/>
      <c r="AE369" s="10" t="n"/>
      <c r="AF369" s="10" t="n"/>
      <c r="AG369" s="13" t="n"/>
    </row>
    <row r="370">
      <c r="A370" s="10" t="n"/>
      <c r="B370" s="11">
        <f>IF($A370="","",IFERROR(INDEX(Products!$B$2:$B$61,MATCH($A370,Products!$A$2:$A$61,0)),"Add to Products"))</f>
        <v/>
      </c>
      <c r="C370" s="11">
        <f>IF($A370="","",IFERROR(INDEX(Products!$C$2:$C$61,MATCH($A370,Products!$A$2:$A$61,0)),"Add to Products"))</f>
        <v/>
      </c>
      <c r="D370" s="11">
        <f>IF($A370="","",IFERROR(INDEX(Products!$D$2:$D$61,MATCH($A370,Products!$A$2:$A$61,0)),"Add to Products"))</f>
        <v/>
      </c>
      <c r="E370" s="11">
        <f>IF($A370="","",IFERROR(INDEX(Products!$E$2:$E$61,MATCH($A370,Products!$A$2:$A$61,0)),"Add to Products"))</f>
        <v/>
      </c>
      <c r="F370" s="11">
        <f>IF($A370="","",IFERROR(INDEX(Products!$F$2:$F$61,MATCH($A370,Products!$A$2:$A$61,0)),"Add to Products"))</f>
        <v/>
      </c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2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3" t="n"/>
      <c r="Y370" s="13" t="n"/>
      <c r="Z370" s="14" t="n"/>
      <c r="AA370" s="10" t="n"/>
      <c r="AB370" s="10" t="n"/>
      <c r="AC370" s="10" t="n"/>
      <c r="AD370" s="10" t="n"/>
      <c r="AE370" s="10" t="n"/>
      <c r="AF370" s="10" t="n"/>
      <c r="AG370" s="13" t="n"/>
    </row>
    <row r="371">
      <c r="A371" s="10" t="n"/>
      <c r="B371" s="11">
        <f>IF($A371="","",IFERROR(INDEX(Products!$B$2:$B$61,MATCH($A371,Products!$A$2:$A$61,0)),"Add to Products"))</f>
        <v/>
      </c>
      <c r="C371" s="11">
        <f>IF($A371="","",IFERROR(INDEX(Products!$C$2:$C$61,MATCH($A371,Products!$A$2:$A$61,0)),"Add to Products"))</f>
        <v/>
      </c>
      <c r="D371" s="11">
        <f>IF($A371="","",IFERROR(INDEX(Products!$D$2:$D$61,MATCH($A371,Products!$A$2:$A$61,0)),"Add to Products"))</f>
        <v/>
      </c>
      <c r="E371" s="11">
        <f>IF($A371="","",IFERROR(INDEX(Products!$E$2:$E$61,MATCH($A371,Products!$A$2:$A$61,0)),"Add to Products"))</f>
        <v/>
      </c>
      <c r="F371" s="11">
        <f>IF($A371="","",IFERROR(INDEX(Products!$F$2:$F$61,MATCH($A371,Products!$A$2:$A$61,0)),"Add to Products"))</f>
        <v/>
      </c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2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3" t="n"/>
      <c r="Y371" s="13" t="n"/>
      <c r="Z371" s="14" t="n"/>
      <c r="AA371" s="10" t="n"/>
      <c r="AB371" s="10" t="n"/>
      <c r="AC371" s="10" t="n"/>
      <c r="AD371" s="10" t="n"/>
      <c r="AE371" s="10" t="n"/>
      <c r="AF371" s="10" t="n"/>
      <c r="AG371" s="13" t="n"/>
    </row>
    <row r="372">
      <c r="A372" s="10" t="n"/>
      <c r="B372" s="11">
        <f>IF($A372="","",IFERROR(INDEX(Products!$B$2:$B$61,MATCH($A372,Products!$A$2:$A$61,0)),"Add to Products"))</f>
        <v/>
      </c>
      <c r="C372" s="11">
        <f>IF($A372="","",IFERROR(INDEX(Products!$C$2:$C$61,MATCH($A372,Products!$A$2:$A$61,0)),"Add to Products"))</f>
        <v/>
      </c>
      <c r="D372" s="11">
        <f>IF($A372="","",IFERROR(INDEX(Products!$D$2:$D$61,MATCH($A372,Products!$A$2:$A$61,0)),"Add to Products"))</f>
        <v/>
      </c>
      <c r="E372" s="11">
        <f>IF($A372="","",IFERROR(INDEX(Products!$E$2:$E$61,MATCH($A372,Products!$A$2:$A$61,0)),"Add to Products"))</f>
        <v/>
      </c>
      <c r="F372" s="11">
        <f>IF($A372="","",IFERROR(INDEX(Products!$F$2:$F$61,MATCH($A372,Products!$A$2:$A$61,0)),"Add to Products"))</f>
        <v/>
      </c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2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3" t="n"/>
      <c r="Y372" s="13" t="n"/>
      <c r="Z372" s="14" t="n"/>
      <c r="AA372" s="10" t="n"/>
      <c r="AB372" s="10" t="n"/>
      <c r="AC372" s="10" t="n"/>
      <c r="AD372" s="10" t="n"/>
      <c r="AE372" s="10" t="n"/>
      <c r="AF372" s="10" t="n"/>
      <c r="AG372" s="13" t="n"/>
    </row>
    <row r="373">
      <c r="A373" s="10" t="n"/>
      <c r="B373" s="11">
        <f>IF($A373="","",IFERROR(INDEX(Products!$B$2:$B$61,MATCH($A373,Products!$A$2:$A$61,0)),"Add to Products"))</f>
        <v/>
      </c>
      <c r="C373" s="11">
        <f>IF($A373="","",IFERROR(INDEX(Products!$C$2:$C$61,MATCH($A373,Products!$A$2:$A$61,0)),"Add to Products"))</f>
        <v/>
      </c>
      <c r="D373" s="11">
        <f>IF($A373="","",IFERROR(INDEX(Products!$D$2:$D$61,MATCH($A373,Products!$A$2:$A$61,0)),"Add to Products"))</f>
        <v/>
      </c>
      <c r="E373" s="11">
        <f>IF($A373="","",IFERROR(INDEX(Products!$E$2:$E$61,MATCH($A373,Products!$A$2:$A$61,0)),"Add to Products"))</f>
        <v/>
      </c>
      <c r="F373" s="11">
        <f>IF($A373="","",IFERROR(INDEX(Products!$F$2:$F$61,MATCH($A373,Products!$A$2:$A$61,0)),"Add to Products"))</f>
        <v/>
      </c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2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3" t="n"/>
      <c r="Y373" s="13" t="n"/>
      <c r="Z373" s="14" t="n"/>
      <c r="AA373" s="10" t="n"/>
      <c r="AB373" s="10" t="n"/>
      <c r="AC373" s="10" t="n"/>
      <c r="AD373" s="10" t="n"/>
      <c r="AE373" s="10" t="n"/>
      <c r="AF373" s="10" t="n"/>
      <c r="AG373" s="13" t="n"/>
    </row>
    <row r="374">
      <c r="A374" s="10" t="n"/>
      <c r="B374" s="11">
        <f>IF($A374="","",IFERROR(INDEX(Products!$B$2:$B$61,MATCH($A374,Products!$A$2:$A$61,0)),"Add to Products"))</f>
        <v/>
      </c>
      <c r="C374" s="11">
        <f>IF($A374="","",IFERROR(INDEX(Products!$C$2:$C$61,MATCH($A374,Products!$A$2:$A$61,0)),"Add to Products"))</f>
        <v/>
      </c>
      <c r="D374" s="11">
        <f>IF($A374="","",IFERROR(INDEX(Products!$D$2:$D$61,MATCH($A374,Products!$A$2:$A$61,0)),"Add to Products"))</f>
        <v/>
      </c>
      <c r="E374" s="11">
        <f>IF($A374="","",IFERROR(INDEX(Products!$E$2:$E$61,MATCH($A374,Products!$A$2:$A$61,0)),"Add to Products"))</f>
        <v/>
      </c>
      <c r="F374" s="11">
        <f>IF($A374="","",IFERROR(INDEX(Products!$F$2:$F$61,MATCH($A374,Products!$A$2:$A$61,0)),"Add to Products"))</f>
        <v/>
      </c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2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3" t="n"/>
      <c r="Y374" s="13" t="n"/>
      <c r="Z374" s="14" t="n"/>
      <c r="AA374" s="10" t="n"/>
      <c r="AB374" s="10" t="n"/>
      <c r="AC374" s="10" t="n"/>
      <c r="AD374" s="10" t="n"/>
      <c r="AE374" s="10" t="n"/>
      <c r="AF374" s="10" t="n"/>
      <c r="AG374" s="13" t="n"/>
    </row>
    <row r="375">
      <c r="A375" s="10" t="n"/>
      <c r="B375" s="11">
        <f>IF($A375="","",IFERROR(INDEX(Products!$B$2:$B$61,MATCH($A375,Products!$A$2:$A$61,0)),"Add to Products"))</f>
        <v/>
      </c>
      <c r="C375" s="11">
        <f>IF($A375="","",IFERROR(INDEX(Products!$C$2:$C$61,MATCH($A375,Products!$A$2:$A$61,0)),"Add to Products"))</f>
        <v/>
      </c>
      <c r="D375" s="11">
        <f>IF($A375="","",IFERROR(INDEX(Products!$D$2:$D$61,MATCH($A375,Products!$A$2:$A$61,0)),"Add to Products"))</f>
        <v/>
      </c>
      <c r="E375" s="11">
        <f>IF($A375="","",IFERROR(INDEX(Products!$E$2:$E$61,MATCH($A375,Products!$A$2:$A$61,0)),"Add to Products"))</f>
        <v/>
      </c>
      <c r="F375" s="11">
        <f>IF($A375="","",IFERROR(INDEX(Products!$F$2:$F$61,MATCH($A375,Products!$A$2:$A$61,0)),"Add to Products"))</f>
        <v/>
      </c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2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3" t="n"/>
      <c r="Y375" s="13" t="n"/>
      <c r="Z375" s="14" t="n"/>
      <c r="AA375" s="10" t="n"/>
      <c r="AB375" s="10" t="n"/>
      <c r="AC375" s="10" t="n"/>
      <c r="AD375" s="10" t="n"/>
      <c r="AE375" s="10" t="n"/>
      <c r="AF375" s="10" t="n"/>
      <c r="AG375" s="13" t="n"/>
    </row>
    <row r="376">
      <c r="A376" s="10" t="n"/>
      <c r="B376" s="11">
        <f>IF($A376="","",IFERROR(INDEX(Products!$B$2:$B$61,MATCH($A376,Products!$A$2:$A$61,0)),"Add to Products"))</f>
        <v/>
      </c>
      <c r="C376" s="11">
        <f>IF($A376="","",IFERROR(INDEX(Products!$C$2:$C$61,MATCH($A376,Products!$A$2:$A$61,0)),"Add to Products"))</f>
        <v/>
      </c>
      <c r="D376" s="11">
        <f>IF($A376="","",IFERROR(INDEX(Products!$D$2:$D$61,MATCH($A376,Products!$A$2:$A$61,0)),"Add to Products"))</f>
        <v/>
      </c>
      <c r="E376" s="11">
        <f>IF($A376="","",IFERROR(INDEX(Products!$E$2:$E$61,MATCH($A376,Products!$A$2:$A$61,0)),"Add to Products"))</f>
        <v/>
      </c>
      <c r="F376" s="11">
        <f>IF($A376="","",IFERROR(INDEX(Products!$F$2:$F$61,MATCH($A376,Products!$A$2:$A$61,0)),"Add to Products"))</f>
        <v/>
      </c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2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3" t="n"/>
      <c r="Y376" s="13" t="n"/>
      <c r="Z376" s="14" t="n"/>
      <c r="AA376" s="10" t="n"/>
      <c r="AB376" s="10" t="n"/>
      <c r="AC376" s="10" t="n"/>
      <c r="AD376" s="10" t="n"/>
      <c r="AE376" s="10" t="n"/>
      <c r="AF376" s="10" t="n"/>
      <c r="AG376" s="13" t="n"/>
    </row>
    <row r="377">
      <c r="A377" s="10" t="n"/>
      <c r="B377" s="11">
        <f>IF($A377="","",IFERROR(INDEX(Products!$B$2:$B$61,MATCH($A377,Products!$A$2:$A$61,0)),"Add to Products"))</f>
        <v/>
      </c>
      <c r="C377" s="11">
        <f>IF($A377="","",IFERROR(INDEX(Products!$C$2:$C$61,MATCH($A377,Products!$A$2:$A$61,0)),"Add to Products"))</f>
        <v/>
      </c>
      <c r="D377" s="11">
        <f>IF($A377="","",IFERROR(INDEX(Products!$D$2:$D$61,MATCH($A377,Products!$A$2:$A$61,0)),"Add to Products"))</f>
        <v/>
      </c>
      <c r="E377" s="11">
        <f>IF($A377="","",IFERROR(INDEX(Products!$E$2:$E$61,MATCH($A377,Products!$A$2:$A$61,0)),"Add to Products"))</f>
        <v/>
      </c>
      <c r="F377" s="11">
        <f>IF($A377="","",IFERROR(INDEX(Products!$F$2:$F$61,MATCH($A377,Products!$A$2:$A$61,0)),"Add to Products"))</f>
        <v/>
      </c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2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3" t="n"/>
      <c r="Y377" s="13" t="n"/>
      <c r="Z377" s="14" t="n"/>
      <c r="AA377" s="10" t="n"/>
      <c r="AB377" s="10" t="n"/>
      <c r="AC377" s="10" t="n"/>
      <c r="AD377" s="10" t="n"/>
      <c r="AE377" s="10" t="n"/>
      <c r="AF377" s="10" t="n"/>
      <c r="AG377" s="13" t="n"/>
    </row>
    <row r="378">
      <c r="A378" s="10" t="n"/>
      <c r="B378" s="11">
        <f>IF($A378="","",IFERROR(INDEX(Products!$B$2:$B$61,MATCH($A378,Products!$A$2:$A$61,0)),"Add to Products"))</f>
        <v/>
      </c>
      <c r="C378" s="11">
        <f>IF($A378="","",IFERROR(INDEX(Products!$C$2:$C$61,MATCH($A378,Products!$A$2:$A$61,0)),"Add to Products"))</f>
        <v/>
      </c>
      <c r="D378" s="11">
        <f>IF($A378="","",IFERROR(INDEX(Products!$D$2:$D$61,MATCH($A378,Products!$A$2:$A$61,0)),"Add to Products"))</f>
        <v/>
      </c>
      <c r="E378" s="11">
        <f>IF($A378="","",IFERROR(INDEX(Products!$E$2:$E$61,MATCH($A378,Products!$A$2:$A$61,0)),"Add to Products"))</f>
        <v/>
      </c>
      <c r="F378" s="11">
        <f>IF($A378="","",IFERROR(INDEX(Products!$F$2:$F$61,MATCH($A378,Products!$A$2:$A$61,0)),"Add to Products"))</f>
        <v/>
      </c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2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3" t="n"/>
      <c r="Y378" s="13" t="n"/>
      <c r="Z378" s="14" t="n"/>
      <c r="AA378" s="10" t="n"/>
      <c r="AB378" s="10" t="n"/>
      <c r="AC378" s="10" t="n"/>
      <c r="AD378" s="10" t="n"/>
      <c r="AE378" s="10" t="n"/>
      <c r="AF378" s="10" t="n"/>
      <c r="AG378" s="13" t="n"/>
    </row>
    <row r="379">
      <c r="A379" s="10" t="n"/>
      <c r="B379" s="11">
        <f>IF($A379="","",IFERROR(INDEX(Products!$B$2:$B$61,MATCH($A379,Products!$A$2:$A$61,0)),"Add to Products"))</f>
        <v/>
      </c>
      <c r="C379" s="11">
        <f>IF($A379="","",IFERROR(INDEX(Products!$C$2:$C$61,MATCH($A379,Products!$A$2:$A$61,0)),"Add to Products"))</f>
        <v/>
      </c>
      <c r="D379" s="11">
        <f>IF($A379="","",IFERROR(INDEX(Products!$D$2:$D$61,MATCH($A379,Products!$A$2:$A$61,0)),"Add to Products"))</f>
        <v/>
      </c>
      <c r="E379" s="11">
        <f>IF($A379="","",IFERROR(INDEX(Products!$E$2:$E$61,MATCH($A379,Products!$A$2:$A$61,0)),"Add to Products"))</f>
        <v/>
      </c>
      <c r="F379" s="11">
        <f>IF($A379="","",IFERROR(INDEX(Products!$F$2:$F$61,MATCH($A379,Products!$A$2:$A$61,0)),"Add to Products"))</f>
        <v/>
      </c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2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3" t="n"/>
      <c r="Y379" s="13" t="n"/>
      <c r="Z379" s="14" t="n"/>
      <c r="AA379" s="10" t="n"/>
      <c r="AB379" s="10" t="n"/>
      <c r="AC379" s="10" t="n"/>
      <c r="AD379" s="10" t="n"/>
      <c r="AE379" s="10" t="n"/>
      <c r="AF379" s="10" t="n"/>
      <c r="AG379" s="13" t="n"/>
    </row>
    <row r="380">
      <c r="A380" s="10" t="n"/>
      <c r="B380" s="11">
        <f>IF($A380="","",IFERROR(INDEX(Products!$B$2:$B$61,MATCH($A380,Products!$A$2:$A$61,0)),"Add to Products"))</f>
        <v/>
      </c>
      <c r="C380" s="11">
        <f>IF($A380="","",IFERROR(INDEX(Products!$C$2:$C$61,MATCH($A380,Products!$A$2:$A$61,0)),"Add to Products"))</f>
        <v/>
      </c>
      <c r="D380" s="11">
        <f>IF($A380="","",IFERROR(INDEX(Products!$D$2:$D$61,MATCH($A380,Products!$A$2:$A$61,0)),"Add to Products"))</f>
        <v/>
      </c>
      <c r="E380" s="11">
        <f>IF($A380="","",IFERROR(INDEX(Products!$E$2:$E$61,MATCH($A380,Products!$A$2:$A$61,0)),"Add to Products"))</f>
        <v/>
      </c>
      <c r="F380" s="11">
        <f>IF($A380="","",IFERROR(INDEX(Products!$F$2:$F$61,MATCH($A380,Products!$A$2:$A$61,0)),"Add to Products"))</f>
        <v/>
      </c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2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3" t="n"/>
      <c r="Y380" s="13" t="n"/>
      <c r="Z380" s="14" t="n"/>
      <c r="AA380" s="10" t="n"/>
      <c r="AB380" s="10" t="n"/>
      <c r="AC380" s="10" t="n"/>
      <c r="AD380" s="10" t="n"/>
      <c r="AE380" s="10" t="n"/>
      <c r="AF380" s="10" t="n"/>
      <c r="AG380" s="13" t="n"/>
    </row>
    <row r="381">
      <c r="A381" s="10" t="n"/>
      <c r="B381" s="11">
        <f>IF($A381="","",IFERROR(INDEX(Products!$B$2:$B$61,MATCH($A381,Products!$A$2:$A$61,0)),"Add to Products"))</f>
        <v/>
      </c>
      <c r="C381" s="11">
        <f>IF($A381="","",IFERROR(INDEX(Products!$C$2:$C$61,MATCH($A381,Products!$A$2:$A$61,0)),"Add to Products"))</f>
        <v/>
      </c>
      <c r="D381" s="11">
        <f>IF($A381="","",IFERROR(INDEX(Products!$D$2:$D$61,MATCH($A381,Products!$A$2:$A$61,0)),"Add to Products"))</f>
        <v/>
      </c>
      <c r="E381" s="11">
        <f>IF($A381="","",IFERROR(INDEX(Products!$E$2:$E$61,MATCH($A381,Products!$A$2:$A$61,0)),"Add to Products"))</f>
        <v/>
      </c>
      <c r="F381" s="11">
        <f>IF($A381="","",IFERROR(INDEX(Products!$F$2:$F$61,MATCH($A381,Products!$A$2:$A$61,0)),"Add to Products"))</f>
        <v/>
      </c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2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3" t="n"/>
      <c r="Y381" s="13" t="n"/>
      <c r="Z381" s="14" t="n"/>
      <c r="AA381" s="10" t="n"/>
      <c r="AB381" s="10" t="n"/>
      <c r="AC381" s="10" t="n"/>
      <c r="AD381" s="10" t="n"/>
      <c r="AE381" s="10" t="n"/>
      <c r="AF381" s="10" t="n"/>
      <c r="AG381" s="13" t="n"/>
    </row>
    <row r="382">
      <c r="A382" s="10" t="n"/>
      <c r="B382" s="11">
        <f>IF($A382="","",IFERROR(INDEX(Products!$B$2:$B$61,MATCH($A382,Products!$A$2:$A$61,0)),"Add to Products"))</f>
        <v/>
      </c>
      <c r="C382" s="11">
        <f>IF($A382="","",IFERROR(INDEX(Products!$C$2:$C$61,MATCH($A382,Products!$A$2:$A$61,0)),"Add to Products"))</f>
        <v/>
      </c>
      <c r="D382" s="11">
        <f>IF($A382="","",IFERROR(INDEX(Products!$D$2:$D$61,MATCH($A382,Products!$A$2:$A$61,0)),"Add to Products"))</f>
        <v/>
      </c>
      <c r="E382" s="11">
        <f>IF($A382="","",IFERROR(INDEX(Products!$E$2:$E$61,MATCH($A382,Products!$A$2:$A$61,0)),"Add to Products"))</f>
        <v/>
      </c>
      <c r="F382" s="11">
        <f>IF($A382="","",IFERROR(INDEX(Products!$F$2:$F$61,MATCH($A382,Products!$A$2:$A$61,0)),"Add to Products"))</f>
        <v/>
      </c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2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3" t="n"/>
      <c r="Y382" s="13" t="n"/>
      <c r="Z382" s="14" t="n"/>
      <c r="AA382" s="10" t="n"/>
      <c r="AB382" s="10" t="n"/>
      <c r="AC382" s="10" t="n"/>
      <c r="AD382" s="10" t="n"/>
      <c r="AE382" s="10" t="n"/>
      <c r="AF382" s="10" t="n"/>
      <c r="AG382" s="13" t="n"/>
    </row>
    <row r="383">
      <c r="A383" s="10" t="n"/>
      <c r="B383" s="11">
        <f>IF($A383="","",IFERROR(INDEX(Products!$B$2:$B$61,MATCH($A383,Products!$A$2:$A$61,0)),"Add to Products"))</f>
        <v/>
      </c>
      <c r="C383" s="11">
        <f>IF($A383="","",IFERROR(INDEX(Products!$C$2:$C$61,MATCH($A383,Products!$A$2:$A$61,0)),"Add to Products"))</f>
        <v/>
      </c>
      <c r="D383" s="11">
        <f>IF($A383="","",IFERROR(INDEX(Products!$D$2:$D$61,MATCH($A383,Products!$A$2:$A$61,0)),"Add to Products"))</f>
        <v/>
      </c>
      <c r="E383" s="11">
        <f>IF($A383="","",IFERROR(INDEX(Products!$E$2:$E$61,MATCH($A383,Products!$A$2:$A$61,0)),"Add to Products"))</f>
        <v/>
      </c>
      <c r="F383" s="11">
        <f>IF($A383="","",IFERROR(INDEX(Products!$F$2:$F$61,MATCH($A383,Products!$A$2:$A$61,0)),"Add to Products"))</f>
        <v/>
      </c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2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3" t="n"/>
      <c r="Y383" s="13" t="n"/>
      <c r="Z383" s="14" t="n"/>
      <c r="AA383" s="10" t="n"/>
      <c r="AB383" s="10" t="n"/>
      <c r="AC383" s="10" t="n"/>
      <c r="AD383" s="10" t="n"/>
      <c r="AE383" s="10" t="n"/>
      <c r="AF383" s="10" t="n"/>
      <c r="AG383" s="13" t="n"/>
    </row>
    <row r="384">
      <c r="A384" s="10" t="n"/>
      <c r="B384" s="11">
        <f>IF($A384="","",IFERROR(INDEX(Products!$B$2:$B$61,MATCH($A384,Products!$A$2:$A$61,0)),"Add to Products"))</f>
        <v/>
      </c>
      <c r="C384" s="11">
        <f>IF($A384="","",IFERROR(INDEX(Products!$C$2:$C$61,MATCH($A384,Products!$A$2:$A$61,0)),"Add to Products"))</f>
        <v/>
      </c>
      <c r="D384" s="11">
        <f>IF($A384="","",IFERROR(INDEX(Products!$D$2:$D$61,MATCH($A384,Products!$A$2:$A$61,0)),"Add to Products"))</f>
        <v/>
      </c>
      <c r="E384" s="11">
        <f>IF($A384="","",IFERROR(INDEX(Products!$E$2:$E$61,MATCH($A384,Products!$A$2:$A$61,0)),"Add to Products"))</f>
        <v/>
      </c>
      <c r="F384" s="11">
        <f>IF($A384="","",IFERROR(INDEX(Products!$F$2:$F$61,MATCH($A384,Products!$A$2:$A$61,0)),"Add to Products"))</f>
        <v/>
      </c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2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3" t="n"/>
      <c r="Y384" s="13" t="n"/>
      <c r="Z384" s="14" t="n"/>
      <c r="AA384" s="10" t="n"/>
      <c r="AB384" s="10" t="n"/>
      <c r="AC384" s="10" t="n"/>
      <c r="AD384" s="10" t="n"/>
      <c r="AE384" s="10" t="n"/>
      <c r="AF384" s="10" t="n"/>
      <c r="AG384" s="13" t="n"/>
    </row>
    <row r="385">
      <c r="A385" s="10" t="n"/>
      <c r="B385" s="11">
        <f>IF($A385="","",IFERROR(INDEX(Products!$B$2:$B$61,MATCH($A385,Products!$A$2:$A$61,0)),"Add to Products"))</f>
        <v/>
      </c>
      <c r="C385" s="11">
        <f>IF($A385="","",IFERROR(INDEX(Products!$C$2:$C$61,MATCH($A385,Products!$A$2:$A$61,0)),"Add to Products"))</f>
        <v/>
      </c>
      <c r="D385" s="11">
        <f>IF($A385="","",IFERROR(INDEX(Products!$D$2:$D$61,MATCH($A385,Products!$A$2:$A$61,0)),"Add to Products"))</f>
        <v/>
      </c>
      <c r="E385" s="11">
        <f>IF($A385="","",IFERROR(INDEX(Products!$E$2:$E$61,MATCH($A385,Products!$A$2:$A$61,0)),"Add to Products"))</f>
        <v/>
      </c>
      <c r="F385" s="11">
        <f>IF($A385="","",IFERROR(INDEX(Products!$F$2:$F$61,MATCH($A385,Products!$A$2:$A$61,0)),"Add to Products"))</f>
        <v/>
      </c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2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3" t="n"/>
      <c r="Y385" s="13" t="n"/>
      <c r="Z385" s="14" t="n"/>
      <c r="AA385" s="10" t="n"/>
      <c r="AB385" s="10" t="n"/>
      <c r="AC385" s="10" t="n"/>
      <c r="AD385" s="10" t="n"/>
      <c r="AE385" s="10" t="n"/>
      <c r="AF385" s="10" t="n"/>
      <c r="AG385" s="13" t="n"/>
    </row>
    <row r="386">
      <c r="A386" s="10" t="n"/>
      <c r="B386" s="11">
        <f>IF($A386="","",IFERROR(INDEX(Products!$B$2:$B$61,MATCH($A386,Products!$A$2:$A$61,0)),"Add to Products"))</f>
        <v/>
      </c>
      <c r="C386" s="11">
        <f>IF($A386="","",IFERROR(INDEX(Products!$C$2:$C$61,MATCH($A386,Products!$A$2:$A$61,0)),"Add to Products"))</f>
        <v/>
      </c>
      <c r="D386" s="11">
        <f>IF($A386="","",IFERROR(INDEX(Products!$D$2:$D$61,MATCH($A386,Products!$A$2:$A$61,0)),"Add to Products"))</f>
        <v/>
      </c>
      <c r="E386" s="11">
        <f>IF($A386="","",IFERROR(INDEX(Products!$E$2:$E$61,MATCH($A386,Products!$A$2:$A$61,0)),"Add to Products"))</f>
        <v/>
      </c>
      <c r="F386" s="11">
        <f>IF($A386="","",IFERROR(INDEX(Products!$F$2:$F$61,MATCH($A386,Products!$A$2:$A$61,0)),"Add to Products"))</f>
        <v/>
      </c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2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3" t="n"/>
      <c r="Y386" s="13" t="n"/>
      <c r="Z386" s="14" t="n"/>
      <c r="AA386" s="10" t="n"/>
      <c r="AB386" s="10" t="n"/>
      <c r="AC386" s="10" t="n"/>
      <c r="AD386" s="10" t="n"/>
      <c r="AE386" s="10" t="n"/>
      <c r="AF386" s="10" t="n"/>
      <c r="AG386" s="13" t="n"/>
    </row>
    <row r="387">
      <c r="A387" s="10" t="n"/>
      <c r="B387" s="11">
        <f>IF($A387="","",IFERROR(INDEX(Products!$B$2:$B$61,MATCH($A387,Products!$A$2:$A$61,0)),"Add to Products"))</f>
        <v/>
      </c>
      <c r="C387" s="11">
        <f>IF($A387="","",IFERROR(INDEX(Products!$C$2:$C$61,MATCH($A387,Products!$A$2:$A$61,0)),"Add to Products"))</f>
        <v/>
      </c>
      <c r="D387" s="11">
        <f>IF($A387="","",IFERROR(INDEX(Products!$D$2:$D$61,MATCH($A387,Products!$A$2:$A$61,0)),"Add to Products"))</f>
        <v/>
      </c>
      <c r="E387" s="11">
        <f>IF($A387="","",IFERROR(INDEX(Products!$E$2:$E$61,MATCH($A387,Products!$A$2:$A$61,0)),"Add to Products"))</f>
        <v/>
      </c>
      <c r="F387" s="11">
        <f>IF($A387="","",IFERROR(INDEX(Products!$F$2:$F$61,MATCH($A387,Products!$A$2:$A$61,0)),"Add to Products"))</f>
        <v/>
      </c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2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3" t="n"/>
      <c r="Y387" s="13" t="n"/>
      <c r="Z387" s="14" t="n"/>
      <c r="AA387" s="10" t="n"/>
      <c r="AB387" s="10" t="n"/>
      <c r="AC387" s="10" t="n"/>
      <c r="AD387" s="10" t="n"/>
      <c r="AE387" s="10" t="n"/>
      <c r="AF387" s="10" t="n"/>
      <c r="AG387" s="13" t="n"/>
    </row>
    <row r="388">
      <c r="A388" s="10" t="n"/>
      <c r="B388" s="11">
        <f>IF($A388="","",IFERROR(INDEX(Products!$B$2:$B$61,MATCH($A388,Products!$A$2:$A$61,0)),"Add to Products"))</f>
        <v/>
      </c>
      <c r="C388" s="11">
        <f>IF($A388="","",IFERROR(INDEX(Products!$C$2:$C$61,MATCH($A388,Products!$A$2:$A$61,0)),"Add to Products"))</f>
        <v/>
      </c>
      <c r="D388" s="11">
        <f>IF($A388="","",IFERROR(INDEX(Products!$D$2:$D$61,MATCH($A388,Products!$A$2:$A$61,0)),"Add to Products"))</f>
        <v/>
      </c>
      <c r="E388" s="11">
        <f>IF($A388="","",IFERROR(INDEX(Products!$E$2:$E$61,MATCH($A388,Products!$A$2:$A$61,0)),"Add to Products"))</f>
        <v/>
      </c>
      <c r="F388" s="11">
        <f>IF($A388="","",IFERROR(INDEX(Products!$F$2:$F$61,MATCH($A388,Products!$A$2:$A$61,0)),"Add to Products"))</f>
        <v/>
      </c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2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3" t="n"/>
      <c r="Y388" s="13" t="n"/>
      <c r="Z388" s="14" t="n"/>
      <c r="AA388" s="10" t="n"/>
      <c r="AB388" s="10" t="n"/>
      <c r="AC388" s="10" t="n"/>
      <c r="AD388" s="10" t="n"/>
      <c r="AE388" s="10" t="n"/>
      <c r="AF388" s="10" t="n"/>
      <c r="AG388" s="13" t="n"/>
    </row>
    <row r="389">
      <c r="A389" s="10" t="n"/>
      <c r="B389" s="11">
        <f>IF($A389="","",IFERROR(INDEX(Products!$B$2:$B$61,MATCH($A389,Products!$A$2:$A$61,0)),"Add to Products"))</f>
        <v/>
      </c>
      <c r="C389" s="11">
        <f>IF($A389="","",IFERROR(INDEX(Products!$C$2:$C$61,MATCH($A389,Products!$A$2:$A$61,0)),"Add to Products"))</f>
        <v/>
      </c>
      <c r="D389" s="11">
        <f>IF($A389="","",IFERROR(INDEX(Products!$D$2:$D$61,MATCH($A389,Products!$A$2:$A$61,0)),"Add to Products"))</f>
        <v/>
      </c>
      <c r="E389" s="11">
        <f>IF($A389="","",IFERROR(INDEX(Products!$E$2:$E$61,MATCH($A389,Products!$A$2:$A$61,0)),"Add to Products"))</f>
        <v/>
      </c>
      <c r="F389" s="11">
        <f>IF($A389="","",IFERROR(INDEX(Products!$F$2:$F$61,MATCH($A389,Products!$A$2:$A$61,0)),"Add to Products"))</f>
        <v/>
      </c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2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3" t="n"/>
      <c r="Y389" s="13" t="n"/>
      <c r="Z389" s="14" t="n"/>
      <c r="AA389" s="10" t="n"/>
      <c r="AB389" s="10" t="n"/>
      <c r="AC389" s="10" t="n"/>
      <c r="AD389" s="10" t="n"/>
      <c r="AE389" s="10" t="n"/>
      <c r="AF389" s="10" t="n"/>
      <c r="AG389" s="13" t="n"/>
    </row>
    <row r="390">
      <c r="A390" s="10" t="n"/>
      <c r="B390" s="11">
        <f>IF($A390="","",IFERROR(INDEX(Products!$B$2:$B$61,MATCH($A390,Products!$A$2:$A$61,0)),"Add to Products"))</f>
        <v/>
      </c>
      <c r="C390" s="11">
        <f>IF($A390="","",IFERROR(INDEX(Products!$C$2:$C$61,MATCH($A390,Products!$A$2:$A$61,0)),"Add to Products"))</f>
        <v/>
      </c>
      <c r="D390" s="11">
        <f>IF($A390="","",IFERROR(INDEX(Products!$D$2:$D$61,MATCH($A390,Products!$A$2:$A$61,0)),"Add to Products"))</f>
        <v/>
      </c>
      <c r="E390" s="11">
        <f>IF($A390="","",IFERROR(INDEX(Products!$E$2:$E$61,MATCH($A390,Products!$A$2:$A$61,0)),"Add to Products"))</f>
        <v/>
      </c>
      <c r="F390" s="11">
        <f>IF($A390="","",IFERROR(INDEX(Products!$F$2:$F$61,MATCH($A390,Products!$A$2:$A$61,0)),"Add to Products"))</f>
        <v/>
      </c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2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3" t="n"/>
      <c r="Y390" s="13" t="n"/>
      <c r="Z390" s="14" t="n"/>
      <c r="AA390" s="10" t="n"/>
      <c r="AB390" s="10" t="n"/>
      <c r="AC390" s="10" t="n"/>
      <c r="AD390" s="10" t="n"/>
      <c r="AE390" s="10" t="n"/>
      <c r="AF390" s="10" t="n"/>
      <c r="AG390" s="13" t="n"/>
    </row>
    <row r="391">
      <c r="A391" s="10" t="n"/>
      <c r="B391" s="11">
        <f>IF($A391="","",IFERROR(INDEX(Products!$B$2:$B$61,MATCH($A391,Products!$A$2:$A$61,0)),"Add to Products"))</f>
        <v/>
      </c>
      <c r="C391" s="11">
        <f>IF($A391="","",IFERROR(INDEX(Products!$C$2:$C$61,MATCH($A391,Products!$A$2:$A$61,0)),"Add to Products"))</f>
        <v/>
      </c>
      <c r="D391" s="11">
        <f>IF($A391="","",IFERROR(INDEX(Products!$D$2:$D$61,MATCH($A391,Products!$A$2:$A$61,0)),"Add to Products"))</f>
        <v/>
      </c>
      <c r="E391" s="11">
        <f>IF($A391="","",IFERROR(INDEX(Products!$E$2:$E$61,MATCH($A391,Products!$A$2:$A$61,0)),"Add to Products"))</f>
        <v/>
      </c>
      <c r="F391" s="11">
        <f>IF($A391="","",IFERROR(INDEX(Products!$F$2:$F$61,MATCH($A391,Products!$A$2:$A$61,0)),"Add to Products"))</f>
        <v/>
      </c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2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3" t="n"/>
      <c r="Y391" s="13" t="n"/>
      <c r="Z391" s="14" t="n"/>
      <c r="AA391" s="10" t="n"/>
      <c r="AB391" s="10" t="n"/>
      <c r="AC391" s="10" t="n"/>
      <c r="AD391" s="10" t="n"/>
      <c r="AE391" s="10" t="n"/>
      <c r="AF391" s="10" t="n"/>
      <c r="AG391" s="13" t="n"/>
    </row>
    <row r="392">
      <c r="A392" s="10" t="n"/>
      <c r="B392" s="11">
        <f>IF($A392="","",IFERROR(INDEX(Products!$B$2:$B$61,MATCH($A392,Products!$A$2:$A$61,0)),"Add to Products"))</f>
        <v/>
      </c>
      <c r="C392" s="11">
        <f>IF($A392="","",IFERROR(INDEX(Products!$C$2:$C$61,MATCH($A392,Products!$A$2:$A$61,0)),"Add to Products"))</f>
        <v/>
      </c>
      <c r="D392" s="11">
        <f>IF($A392="","",IFERROR(INDEX(Products!$D$2:$D$61,MATCH($A392,Products!$A$2:$A$61,0)),"Add to Products"))</f>
        <v/>
      </c>
      <c r="E392" s="11">
        <f>IF($A392="","",IFERROR(INDEX(Products!$E$2:$E$61,MATCH($A392,Products!$A$2:$A$61,0)),"Add to Products"))</f>
        <v/>
      </c>
      <c r="F392" s="11">
        <f>IF($A392="","",IFERROR(INDEX(Products!$F$2:$F$61,MATCH($A392,Products!$A$2:$A$61,0)),"Add to Products"))</f>
        <v/>
      </c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2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3" t="n"/>
      <c r="Y392" s="13" t="n"/>
      <c r="Z392" s="14" t="n"/>
      <c r="AA392" s="10" t="n"/>
      <c r="AB392" s="10" t="n"/>
      <c r="AC392" s="10" t="n"/>
      <c r="AD392" s="10" t="n"/>
      <c r="AE392" s="10" t="n"/>
      <c r="AF392" s="10" t="n"/>
      <c r="AG392" s="13" t="n"/>
    </row>
    <row r="393">
      <c r="A393" s="10" t="n"/>
      <c r="B393" s="11">
        <f>IF($A393="","",IFERROR(INDEX(Products!$B$2:$B$61,MATCH($A393,Products!$A$2:$A$61,0)),"Add to Products"))</f>
        <v/>
      </c>
      <c r="C393" s="11">
        <f>IF($A393="","",IFERROR(INDEX(Products!$C$2:$C$61,MATCH($A393,Products!$A$2:$A$61,0)),"Add to Products"))</f>
        <v/>
      </c>
      <c r="D393" s="11">
        <f>IF($A393="","",IFERROR(INDEX(Products!$D$2:$D$61,MATCH($A393,Products!$A$2:$A$61,0)),"Add to Products"))</f>
        <v/>
      </c>
      <c r="E393" s="11">
        <f>IF($A393="","",IFERROR(INDEX(Products!$E$2:$E$61,MATCH($A393,Products!$A$2:$A$61,0)),"Add to Products"))</f>
        <v/>
      </c>
      <c r="F393" s="11">
        <f>IF($A393="","",IFERROR(INDEX(Products!$F$2:$F$61,MATCH($A393,Products!$A$2:$A$61,0)),"Add to Products"))</f>
        <v/>
      </c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2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3" t="n"/>
      <c r="Y393" s="13" t="n"/>
      <c r="Z393" s="14" t="n"/>
      <c r="AA393" s="10" t="n"/>
      <c r="AB393" s="10" t="n"/>
      <c r="AC393" s="10" t="n"/>
      <c r="AD393" s="10" t="n"/>
      <c r="AE393" s="10" t="n"/>
      <c r="AF393" s="10" t="n"/>
      <c r="AG393" s="13" t="n"/>
    </row>
    <row r="394">
      <c r="A394" s="10" t="n"/>
      <c r="B394" s="11">
        <f>IF($A394="","",IFERROR(INDEX(Products!$B$2:$B$61,MATCH($A394,Products!$A$2:$A$61,0)),"Add to Products"))</f>
        <v/>
      </c>
      <c r="C394" s="11">
        <f>IF($A394="","",IFERROR(INDEX(Products!$C$2:$C$61,MATCH($A394,Products!$A$2:$A$61,0)),"Add to Products"))</f>
        <v/>
      </c>
      <c r="D394" s="11">
        <f>IF($A394="","",IFERROR(INDEX(Products!$D$2:$D$61,MATCH($A394,Products!$A$2:$A$61,0)),"Add to Products"))</f>
        <v/>
      </c>
      <c r="E394" s="11">
        <f>IF($A394="","",IFERROR(INDEX(Products!$E$2:$E$61,MATCH($A394,Products!$A$2:$A$61,0)),"Add to Products"))</f>
        <v/>
      </c>
      <c r="F394" s="11">
        <f>IF($A394="","",IFERROR(INDEX(Products!$F$2:$F$61,MATCH($A394,Products!$A$2:$A$61,0)),"Add to Products"))</f>
        <v/>
      </c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2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3" t="n"/>
      <c r="Y394" s="13" t="n"/>
      <c r="Z394" s="14" t="n"/>
      <c r="AA394" s="10" t="n"/>
      <c r="AB394" s="10" t="n"/>
      <c r="AC394" s="10" t="n"/>
      <c r="AD394" s="10" t="n"/>
      <c r="AE394" s="10" t="n"/>
      <c r="AF394" s="10" t="n"/>
      <c r="AG394" s="13" t="n"/>
    </row>
    <row r="395">
      <c r="A395" s="10" t="n"/>
      <c r="B395" s="11">
        <f>IF($A395="","",IFERROR(INDEX(Products!$B$2:$B$61,MATCH($A395,Products!$A$2:$A$61,0)),"Add to Products"))</f>
        <v/>
      </c>
      <c r="C395" s="11">
        <f>IF($A395="","",IFERROR(INDEX(Products!$C$2:$C$61,MATCH($A395,Products!$A$2:$A$61,0)),"Add to Products"))</f>
        <v/>
      </c>
      <c r="D395" s="11">
        <f>IF($A395="","",IFERROR(INDEX(Products!$D$2:$D$61,MATCH($A395,Products!$A$2:$A$61,0)),"Add to Products"))</f>
        <v/>
      </c>
      <c r="E395" s="11">
        <f>IF($A395="","",IFERROR(INDEX(Products!$E$2:$E$61,MATCH($A395,Products!$A$2:$A$61,0)),"Add to Products"))</f>
        <v/>
      </c>
      <c r="F395" s="11">
        <f>IF($A395="","",IFERROR(INDEX(Products!$F$2:$F$61,MATCH($A395,Products!$A$2:$A$61,0)),"Add to Products"))</f>
        <v/>
      </c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2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3" t="n"/>
      <c r="Y395" s="13" t="n"/>
      <c r="Z395" s="14" t="n"/>
      <c r="AA395" s="10" t="n"/>
      <c r="AB395" s="10" t="n"/>
      <c r="AC395" s="10" t="n"/>
      <c r="AD395" s="10" t="n"/>
      <c r="AE395" s="10" t="n"/>
      <c r="AF395" s="10" t="n"/>
      <c r="AG395" s="13" t="n"/>
    </row>
    <row r="396">
      <c r="A396" s="10" t="n"/>
      <c r="B396" s="11">
        <f>IF($A396="","",IFERROR(INDEX(Products!$B$2:$B$61,MATCH($A396,Products!$A$2:$A$61,0)),"Add to Products"))</f>
        <v/>
      </c>
      <c r="C396" s="11">
        <f>IF($A396="","",IFERROR(INDEX(Products!$C$2:$C$61,MATCH($A396,Products!$A$2:$A$61,0)),"Add to Products"))</f>
        <v/>
      </c>
      <c r="D396" s="11">
        <f>IF($A396="","",IFERROR(INDEX(Products!$D$2:$D$61,MATCH($A396,Products!$A$2:$A$61,0)),"Add to Products"))</f>
        <v/>
      </c>
      <c r="E396" s="11">
        <f>IF($A396="","",IFERROR(INDEX(Products!$E$2:$E$61,MATCH($A396,Products!$A$2:$A$61,0)),"Add to Products"))</f>
        <v/>
      </c>
      <c r="F396" s="11">
        <f>IF($A396="","",IFERROR(INDEX(Products!$F$2:$F$61,MATCH($A396,Products!$A$2:$A$61,0)),"Add to Products"))</f>
        <v/>
      </c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2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3" t="n"/>
      <c r="Y396" s="13" t="n"/>
      <c r="Z396" s="14" t="n"/>
      <c r="AA396" s="10" t="n"/>
      <c r="AB396" s="10" t="n"/>
      <c r="AC396" s="10" t="n"/>
      <c r="AD396" s="10" t="n"/>
      <c r="AE396" s="10" t="n"/>
      <c r="AF396" s="10" t="n"/>
      <c r="AG396" s="13" t="n"/>
    </row>
    <row r="397">
      <c r="A397" s="10" t="n"/>
      <c r="B397" s="11">
        <f>IF($A397="","",IFERROR(INDEX(Products!$B$2:$B$61,MATCH($A397,Products!$A$2:$A$61,0)),"Add to Products"))</f>
        <v/>
      </c>
      <c r="C397" s="11">
        <f>IF($A397="","",IFERROR(INDEX(Products!$C$2:$C$61,MATCH($A397,Products!$A$2:$A$61,0)),"Add to Products"))</f>
        <v/>
      </c>
      <c r="D397" s="11">
        <f>IF($A397="","",IFERROR(INDEX(Products!$D$2:$D$61,MATCH($A397,Products!$A$2:$A$61,0)),"Add to Products"))</f>
        <v/>
      </c>
      <c r="E397" s="11">
        <f>IF($A397="","",IFERROR(INDEX(Products!$E$2:$E$61,MATCH($A397,Products!$A$2:$A$61,0)),"Add to Products"))</f>
        <v/>
      </c>
      <c r="F397" s="11">
        <f>IF($A397="","",IFERROR(INDEX(Products!$F$2:$F$61,MATCH($A397,Products!$A$2:$A$61,0)),"Add to Products"))</f>
        <v/>
      </c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2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3" t="n"/>
      <c r="Y397" s="13" t="n"/>
      <c r="Z397" s="14" t="n"/>
      <c r="AA397" s="10" t="n"/>
      <c r="AB397" s="10" t="n"/>
      <c r="AC397" s="10" t="n"/>
      <c r="AD397" s="10" t="n"/>
      <c r="AE397" s="10" t="n"/>
      <c r="AF397" s="10" t="n"/>
      <c r="AG397" s="13" t="n"/>
    </row>
    <row r="398">
      <c r="A398" s="10" t="n"/>
      <c r="B398" s="11">
        <f>IF($A398="","",IFERROR(INDEX(Products!$B$2:$B$61,MATCH($A398,Products!$A$2:$A$61,0)),"Add to Products"))</f>
        <v/>
      </c>
      <c r="C398" s="11">
        <f>IF($A398="","",IFERROR(INDEX(Products!$C$2:$C$61,MATCH($A398,Products!$A$2:$A$61,0)),"Add to Products"))</f>
        <v/>
      </c>
      <c r="D398" s="11">
        <f>IF($A398="","",IFERROR(INDEX(Products!$D$2:$D$61,MATCH($A398,Products!$A$2:$A$61,0)),"Add to Products"))</f>
        <v/>
      </c>
      <c r="E398" s="11">
        <f>IF($A398="","",IFERROR(INDEX(Products!$E$2:$E$61,MATCH($A398,Products!$A$2:$A$61,0)),"Add to Products"))</f>
        <v/>
      </c>
      <c r="F398" s="11">
        <f>IF($A398="","",IFERROR(INDEX(Products!$F$2:$F$61,MATCH($A398,Products!$A$2:$A$61,0)),"Add to Products"))</f>
        <v/>
      </c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2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3" t="n"/>
      <c r="Y398" s="13" t="n"/>
      <c r="Z398" s="14" t="n"/>
      <c r="AA398" s="10" t="n"/>
      <c r="AB398" s="10" t="n"/>
      <c r="AC398" s="10" t="n"/>
      <c r="AD398" s="10" t="n"/>
      <c r="AE398" s="10" t="n"/>
      <c r="AF398" s="10" t="n"/>
      <c r="AG398" s="13" t="n"/>
    </row>
    <row r="399">
      <c r="A399" s="10" t="n"/>
      <c r="B399" s="11">
        <f>IF($A399="","",IFERROR(INDEX(Products!$B$2:$B$61,MATCH($A399,Products!$A$2:$A$61,0)),"Add to Products"))</f>
        <v/>
      </c>
      <c r="C399" s="11">
        <f>IF($A399="","",IFERROR(INDEX(Products!$C$2:$C$61,MATCH($A399,Products!$A$2:$A$61,0)),"Add to Products"))</f>
        <v/>
      </c>
      <c r="D399" s="11">
        <f>IF($A399="","",IFERROR(INDEX(Products!$D$2:$D$61,MATCH($A399,Products!$A$2:$A$61,0)),"Add to Products"))</f>
        <v/>
      </c>
      <c r="E399" s="11">
        <f>IF($A399="","",IFERROR(INDEX(Products!$E$2:$E$61,MATCH($A399,Products!$A$2:$A$61,0)),"Add to Products"))</f>
        <v/>
      </c>
      <c r="F399" s="11">
        <f>IF($A399="","",IFERROR(INDEX(Products!$F$2:$F$61,MATCH($A399,Products!$A$2:$A$61,0)),"Add to Products"))</f>
        <v/>
      </c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2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3" t="n"/>
      <c r="Y399" s="13" t="n"/>
      <c r="Z399" s="14" t="n"/>
      <c r="AA399" s="10" t="n"/>
      <c r="AB399" s="10" t="n"/>
      <c r="AC399" s="10" t="n"/>
      <c r="AD399" s="10" t="n"/>
      <c r="AE399" s="10" t="n"/>
      <c r="AF399" s="10" t="n"/>
      <c r="AG399" s="13" t="n"/>
    </row>
    <row r="400">
      <c r="A400" s="10" t="n"/>
      <c r="B400" s="11">
        <f>IF($A400="","",IFERROR(INDEX(Products!$B$2:$B$61,MATCH($A400,Products!$A$2:$A$61,0)),"Add to Products"))</f>
        <v/>
      </c>
      <c r="C400" s="11">
        <f>IF($A400="","",IFERROR(INDEX(Products!$C$2:$C$61,MATCH($A400,Products!$A$2:$A$61,0)),"Add to Products"))</f>
        <v/>
      </c>
      <c r="D400" s="11">
        <f>IF($A400="","",IFERROR(INDEX(Products!$D$2:$D$61,MATCH($A400,Products!$A$2:$A$61,0)),"Add to Products"))</f>
        <v/>
      </c>
      <c r="E400" s="11">
        <f>IF($A400="","",IFERROR(INDEX(Products!$E$2:$E$61,MATCH($A400,Products!$A$2:$A$61,0)),"Add to Products"))</f>
        <v/>
      </c>
      <c r="F400" s="11">
        <f>IF($A400="","",IFERROR(INDEX(Products!$F$2:$F$61,MATCH($A400,Products!$A$2:$A$61,0)),"Add to Products"))</f>
        <v/>
      </c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2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3" t="n"/>
      <c r="Y400" s="13" t="n"/>
      <c r="Z400" s="14" t="n"/>
      <c r="AA400" s="10" t="n"/>
      <c r="AB400" s="10" t="n"/>
      <c r="AC400" s="10" t="n"/>
      <c r="AD400" s="10" t="n"/>
      <c r="AE400" s="10" t="n"/>
      <c r="AF400" s="10" t="n"/>
      <c r="AG400" s="13" t="n"/>
    </row>
    <row r="401">
      <c r="A401" s="10" t="n"/>
      <c r="B401" s="11">
        <f>IF($A401="","",IFERROR(INDEX(Products!$B$2:$B$61,MATCH($A401,Products!$A$2:$A$61,0)),"Add to Products"))</f>
        <v/>
      </c>
      <c r="C401" s="11">
        <f>IF($A401="","",IFERROR(INDEX(Products!$C$2:$C$61,MATCH($A401,Products!$A$2:$A$61,0)),"Add to Products"))</f>
        <v/>
      </c>
      <c r="D401" s="11">
        <f>IF($A401="","",IFERROR(INDEX(Products!$D$2:$D$61,MATCH($A401,Products!$A$2:$A$61,0)),"Add to Products"))</f>
        <v/>
      </c>
      <c r="E401" s="11">
        <f>IF($A401="","",IFERROR(INDEX(Products!$E$2:$E$61,MATCH($A401,Products!$A$2:$A$61,0)),"Add to Products"))</f>
        <v/>
      </c>
      <c r="F401" s="11">
        <f>IF($A401="","",IFERROR(INDEX(Products!$F$2:$F$61,MATCH($A401,Products!$A$2:$A$61,0)),"Add to Products"))</f>
        <v/>
      </c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2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3" t="n"/>
      <c r="Y401" s="13" t="n"/>
      <c r="Z401" s="14" t="n"/>
      <c r="AA401" s="10" t="n"/>
      <c r="AB401" s="10" t="n"/>
      <c r="AC401" s="10" t="n"/>
      <c r="AD401" s="10" t="n"/>
      <c r="AE401" s="10" t="n"/>
      <c r="AF401" s="10" t="n"/>
      <c r="AG401" s="13" t="n"/>
    </row>
  </sheetData>
  <conditionalFormatting sqref="H2:H401">
    <cfRule type="expression" priority="1" dxfId="0">
      <formula>$L2="Yes"</formula>
    </cfRule>
  </conditionalFormatting>
  <conditionalFormatting sqref="AE2:AE401">
    <cfRule type="expression" priority="2" dxfId="1">
      <formula>AND($AE2&lt;&gt;"",$AE2&lt;&gt;"Public")</formula>
    </cfRule>
  </conditionalFormatting>
  <dataValidations count="11">
    <dataValidation sqref="A2:A401" showDropDown="0" showInputMessage="0" showErrorMessage="0" allowBlank="1" type="list">
      <formula1>=Products!$A$2:$A$61</formula1>
    </dataValidation>
    <dataValidation sqref="G2:G401" showDropDown="0" showInputMessage="0" showErrorMessage="0" allowBlank="1" type="list">
      <formula1>=Lists!$B$2:$B$20</formula1>
    </dataValidation>
    <dataValidation sqref="K2:K401" showDropDown="0" showInputMessage="0" showErrorMessage="0" allowBlank="1" type="list">
      <formula1>=Lists!$C$2:$C$20</formula1>
    </dataValidation>
    <dataValidation sqref="L2:L401" showDropDown="0" showInputMessage="0" showErrorMessage="0" allowBlank="1" type="list">
      <formula1>=Lists!$D$2:$D$20</formula1>
    </dataValidation>
    <dataValidation sqref="W2:W401" showDropDown="0" showInputMessage="0" showErrorMessage="0" allowBlank="1" type="list">
      <formula1>=Lists!$E$2:$E$20</formula1>
    </dataValidation>
    <dataValidation sqref="AE2:AE401" showDropDown="0" showInputMessage="0" showErrorMessage="0" allowBlank="1" type="list">
      <formula1>=Lists!$G$2:$G$20</formula1>
    </dataValidation>
    <dataValidation sqref="M2:M401" showDropDown="0" showInputMessage="0" showErrorMessage="0" allowBlank="1" type="list">
      <formula1>=Lists!$H$2:$H$20</formula1>
    </dataValidation>
    <dataValidation sqref="AG2:AG401" showDropDown="0" showInputMessage="0" showErrorMessage="0" allowBlank="1" errorTitle="Date needed" error="Enter a date, e.g. 05-Feb-2024" type="date" operator="greaterThan">
      <formula1>DATE(1990,1,1)</formula1>
    </dataValidation>
    <dataValidation sqref="X2:X401" showDropDown="0" showInputMessage="0" showErrorMessage="0" allowBlank="1" errorTitle="Date needed" error="Enter a date, e.g. 05-Feb-2024" type="date" operator="greaterThan">
      <formula1>DATE(1990,1,1)</formula1>
    </dataValidation>
    <dataValidation sqref="Y2:Y401" showDropDown="0" showInputMessage="0" showErrorMessage="0" allowBlank="1" errorTitle="Date needed" error="Enter a date, e.g. 05-Feb-2024" type="date" operator="greaterThan">
      <formula1>DATE(1990,1,1)</formula1>
    </dataValidation>
    <dataValidation sqref="Z2:Z401" showDropDown="0" showInputMessage="0" showErrorMessage="0" allowBlank="1" errorTitle="Year needed" error="Enter a 4-digit year" type="whole" operator="between">
      <formula1>1990</formula1>
      <formula2>2100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13" customWidth="1" min="9" max="9"/>
    <col width="10" customWidth="1" min="10" max="10"/>
    <col width="10" customWidth="1" min="11" max="11"/>
  </cols>
  <sheetData>
    <row r="1">
      <c r="A1" s="15" t="inlineStr">
        <is>
          <t>Evidence Summary by Product</t>
        </is>
      </c>
    </row>
    <row r="2">
      <c r="A2" s="16" t="inlineStr">
        <is>
          <t>Updates automatically from the Library sheet.</t>
        </is>
      </c>
    </row>
    <row r="4" ht="44" customHeight="1">
      <c r="A4" s="9" t="inlineStr">
        <is>
          <t>Product</t>
        </is>
      </c>
      <c r="B4" s="9" t="inlineStr">
        <is>
          <t>Therapy Area</t>
        </is>
      </c>
      <c r="C4" s="9" t="inlineStr">
        <is>
          <t>Own / Competitor</t>
        </is>
      </c>
      <c r="D4" s="9" t="inlineStr">
        <is>
          <t>Total Records</t>
        </is>
      </c>
      <c r="E4" s="9" t="inlineStr">
        <is>
          <t>Pivotal Trials</t>
        </is>
      </c>
      <c r="F4" s="9" t="inlineStr">
        <is>
          <t>Clinical Trials</t>
        </is>
      </c>
      <c r="G4" s="9" t="inlineStr">
        <is>
          <t>Real-world / Registry</t>
        </is>
      </c>
      <c r="H4" s="9" t="inlineStr">
        <is>
          <t>Guidelines &amp; Recommendations</t>
        </is>
      </c>
      <c r="I4" s="9" t="inlineStr">
        <is>
          <t>Internal / Confidential</t>
        </is>
      </c>
      <c r="J4" s="9" t="inlineStr">
        <is>
          <t>Earliest Year</t>
        </is>
      </c>
      <c r="K4" s="9" t="inlineStr">
        <is>
          <t>Latest Year</t>
        </is>
      </c>
    </row>
    <row r="5">
      <c r="A5" s="17">
        <f>IF(Products!$A$2="","",Products!$A$2)</f>
        <v/>
      </c>
      <c r="B5" s="17">
        <f>IF($A5="","",Products!$C$2)</f>
        <v/>
      </c>
      <c r="C5" s="17">
        <f>IF($A5="","",Products!$F$2)</f>
        <v/>
      </c>
      <c r="D5" s="17">
        <f>IF($A5="","",COUNTIFS(Library!$A$2:$A$401,$A5))</f>
        <v/>
      </c>
      <c r="E5" s="17">
        <f>IF($A5="","",COUNTIFS(Library!$A$2:$A$401,$A5,Library!$L$2:$L$401,"Yes"))</f>
        <v/>
      </c>
      <c r="F5" s="17">
        <f>IF($A5="","",COUNTIFS(Library!$A$2:$A$401,$A5,Library!$G$2:$G$401,"Clinical trial")+COUNTIFS(Library!$A$2:$A$401,$A5,Library!$G$2:$G$401,"Extension study"))</f>
        <v/>
      </c>
      <c r="G5" s="17">
        <f>IF($A5="","",COUNTIFS(Library!$A$2:$A$401,$A5,Library!$G$2:$G$401,"Registry / Real-world study")+COUNTIFS(Library!$A$2:$A$401,$A5,Library!$G$2:$G$401,"Natural history study"))</f>
        <v/>
      </c>
      <c r="H5" s="17">
        <f>IF($A5="","",COUNTIFS(Library!$A$2:$A$401,$A5,Library!$G$2:$G$401,"Guideline / Consensus")+COUNTIFS(Library!$A$2:$A$401,$A5,Library!$G$2:$G$401,"Expert recommendation"))</f>
        <v/>
      </c>
      <c r="I5" s="17">
        <f>IF($A5="","",COUNTIFS(Library!$A$2:$A$401,$A5,Library!$AE$2:$AE$401,"Internal use only")+COUNTIFS(Library!$A$2:$A$401,$A5,Library!$AE$2:$AE$401,"Confidential"))</f>
        <v/>
      </c>
      <c r="J5" s="18">
        <f>IF($A5="","",IF(COUNTIFS(Library!$A$2:$A$401,$A5,Library!$Z$2:$Z$401,"&gt;0")=0,"",_xlfn.MINIFS(Library!$Z$2:$Z$401,Library!$A$2:$A$401,$A5)))</f>
        <v/>
      </c>
      <c r="K5" s="18">
        <f>IF($A5="","",IF(COUNTIFS(Library!$A$2:$A$401,$A5,Library!$Z$2:$Z$401,"&gt;0")=0,"",_xlfn.MAXIFS(Library!$Z$2:$Z$401,Library!$A$2:$A$401,$A5)))</f>
        <v/>
      </c>
    </row>
    <row r="6">
      <c r="A6" s="17">
        <f>IF(Products!$A$3="","",Products!$A$3)</f>
        <v/>
      </c>
      <c r="B6" s="17">
        <f>IF($A6="","",Products!$C$3)</f>
        <v/>
      </c>
      <c r="C6" s="17">
        <f>IF($A6="","",Products!$F$3)</f>
        <v/>
      </c>
      <c r="D6" s="17">
        <f>IF($A6="","",COUNTIFS(Library!$A$2:$A$401,$A6))</f>
        <v/>
      </c>
      <c r="E6" s="17">
        <f>IF($A6="","",COUNTIFS(Library!$A$2:$A$401,$A6,Library!$L$2:$L$401,"Yes"))</f>
        <v/>
      </c>
      <c r="F6" s="17">
        <f>IF($A6="","",COUNTIFS(Library!$A$2:$A$401,$A6,Library!$G$2:$G$401,"Clinical trial")+COUNTIFS(Library!$A$2:$A$401,$A6,Library!$G$2:$G$401,"Extension study"))</f>
        <v/>
      </c>
      <c r="G6" s="17">
        <f>IF($A6="","",COUNTIFS(Library!$A$2:$A$401,$A6,Library!$G$2:$G$401,"Registry / Real-world study")+COUNTIFS(Library!$A$2:$A$401,$A6,Library!$G$2:$G$401,"Natural history study"))</f>
        <v/>
      </c>
      <c r="H6" s="17">
        <f>IF($A6="","",COUNTIFS(Library!$A$2:$A$401,$A6,Library!$G$2:$G$401,"Guideline / Consensus")+COUNTIFS(Library!$A$2:$A$401,$A6,Library!$G$2:$G$401,"Expert recommendation"))</f>
        <v/>
      </c>
      <c r="I6" s="17">
        <f>IF($A6="","",COUNTIFS(Library!$A$2:$A$401,$A6,Library!$AE$2:$AE$401,"Internal use only")+COUNTIFS(Library!$A$2:$A$401,$A6,Library!$AE$2:$AE$401,"Confidential"))</f>
        <v/>
      </c>
      <c r="J6" s="18">
        <f>IF($A6="","",IF(COUNTIFS(Library!$A$2:$A$401,$A6,Library!$Z$2:$Z$401,"&gt;0")=0,"",_xlfn.MINIFS(Library!$Z$2:$Z$401,Library!$A$2:$A$401,$A6)))</f>
        <v/>
      </c>
      <c r="K6" s="18">
        <f>IF($A6="","",IF(COUNTIFS(Library!$A$2:$A$401,$A6,Library!$Z$2:$Z$401,"&gt;0")=0,"",_xlfn.MAXIFS(Library!$Z$2:$Z$401,Library!$A$2:$A$401,$A6)))</f>
        <v/>
      </c>
    </row>
    <row r="7">
      <c r="A7" s="17">
        <f>IF(Products!$A$4="","",Products!$A$4)</f>
        <v/>
      </c>
      <c r="B7" s="17">
        <f>IF($A7="","",Products!$C$4)</f>
        <v/>
      </c>
      <c r="C7" s="17">
        <f>IF($A7="","",Products!$F$4)</f>
        <v/>
      </c>
      <c r="D7" s="17">
        <f>IF($A7="","",COUNTIFS(Library!$A$2:$A$401,$A7))</f>
        <v/>
      </c>
      <c r="E7" s="17">
        <f>IF($A7="","",COUNTIFS(Library!$A$2:$A$401,$A7,Library!$L$2:$L$401,"Yes"))</f>
        <v/>
      </c>
      <c r="F7" s="17">
        <f>IF($A7="","",COUNTIFS(Library!$A$2:$A$401,$A7,Library!$G$2:$G$401,"Clinical trial")+COUNTIFS(Library!$A$2:$A$401,$A7,Library!$G$2:$G$401,"Extension study"))</f>
        <v/>
      </c>
      <c r="G7" s="17">
        <f>IF($A7="","",COUNTIFS(Library!$A$2:$A$401,$A7,Library!$G$2:$G$401,"Registry / Real-world study")+COUNTIFS(Library!$A$2:$A$401,$A7,Library!$G$2:$G$401,"Natural history study"))</f>
        <v/>
      </c>
      <c r="H7" s="17">
        <f>IF($A7="","",COUNTIFS(Library!$A$2:$A$401,$A7,Library!$G$2:$G$401,"Guideline / Consensus")+COUNTIFS(Library!$A$2:$A$401,$A7,Library!$G$2:$G$401,"Expert recommendation"))</f>
        <v/>
      </c>
      <c r="I7" s="17">
        <f>IF($A7="","",COUNTIFS(Library!$A$2:$A$401,$A7,Library!$AE$2:$AE$401,"Internal use only")+COUNTIFS(Library!$A$2:$A$401,$A7,Library!$AE$2:$AE$401,"Confidential"))</f>
        <v/>
      </c>
      <c r="J7" s="18">
        <f>IF($A7="","",IF(COUNTIFS(Library!$A$2:$A$401,$A7,Library!$Z$2:$Z$401,"&gt;0")=0,"",_xlfn.MINIFS(Library!$Z$2:$Z$401,Library!$A$2:$A$401,$A7)))</f>
        <v/>
      </c>
      <c r="K7" s="18">
        <f>IF($A7="","",IF(COUNTIFS(Library!$A$2:$A$401,$A7,Library!$Z$2:$Z$401,"&gt;0")=0,"",_xlfn.MAXIFS(Library!$Z$2:$Z$401,Library!$A$2:$A$401,$A7)))</f>
        <v/>
      </c>
    </row>
    <row r="8">
      <c r="A8" s="17">
        <f>IF(Products!$A$5="","",Products!$A$5)</f>
        <v/>
      </c>
      <c r="B8" s="17">
        <f>IF($A8="","",Products!$C$5)</f>
        <v/>
      </c>
      <c r="C8" s="17">
        <f>IF($A8="","",Products!$F$5)</f>
        <v/>
      </c>
      <c r="D8" s="17">
        <f>IF($A8="","",COUNTIFS(Library!$A$2:$A$401,$A8))</f>
        <v/>
      </c>
      <c r="E8" s="17">
        <f>IF($A8="","",COUNTIFS(Library!$A$2:$A$401,$A8,Library!$L$2:$L$401,"Yes"))</f>
        <v/>
      </c>
      <c r="F8" s="17">
        <f>IF($A8="","",COUNTIFS(Library!$A$2:$A$401,$A8,Library!$G$2:$G$401,"Clinical trial")+COUNTIFS(Library!$A$2:$A$401,$A8,Library!$G$2:$G$401,"Extension study"))</f>
        <v/>
      </c>
      <c r="G8" s="17">
        <f>IF($A8="","",COUNTIFS(Library!$A$2:$A$401,$A8,Library!$G$2:$G$401,"Registry / Real-world study")+COUNTIFS(Library!$A$2:$A$401,$A8,Library!$G$2:$G$401,"Natural history study"))</f>
        <v/>
      </c>
      <c r="H8" s="17">
        <f>IF($A8="","",COUNTIFS(Library!$A$2:$A$401,$A8,Library!$G$2:$G$401,"Guideline / Consensus")+COUNTIFS(Library!$A$2:$A$401,$A8,Library!$G$2:$G$401,"Expert recommendation"))</f>
        <v/>
      </c>
      <c r="I8" s="17">
        <f>IF($A8="","",COUNTIFS(Library!$A$2:$A$401,$A8,Library!$AE$2:$AE$401,"Internal use only")+COUNTIFS(Library!$A$2:$A$401,$A8,Library!$AE$2:$AE$401,"Confidential"))</f>
        <v/>
      </c>
      <c r="J8" s="18">
        <f>IF($A8="","",IF(COUNTIFS(Library!$A$2:$A$401,$A8,Library!$Z$2:$Z$401,"&gt;0")=0,"",_xlfn.MINIFS(Library!$Z$2:$Z$401,Library!$A$2:$A$401,$A8)))</f>
        <v/>
      </c>
      <c r="K8" s="18">
        <f>IF($A8="","",IF(COUNTIFS(Library!$A$2:$A$401,$A8,Library!$Z$2:$Z$401,"&gt;0")=0,"",_xlfn.MAXIFS(Library!$Z$2:$Z$401,Library!$A$2:$A$401,$A8)))</f>
        <v/>
      </c>
    </row>
    <row r="9">
      <c r="A9" s="17">
        <f>IF(Products!$A$6="","",Products!$A$6)</f>
        <v/>
      </c>
      <c r="B9" s="17">
        <f>IF($A9="","",Products!$C$6)</f>
        <v/>
      </c>
      <c r="C9" s="17">
        <f>IF($A9="","",Products!$F$6)</f>
        <v/>
      </c>
      <c r="D9" s="17">
        <f>IF($A9="","",COUNTIFS(Library!$A$2:$A$401,$A9))</f>
        <v/>
      </c>
      <c r="E9" s="17">
        <f>IF($A9="","",COUNTIFS(Library!$A$2:$A$401,$A9,Library!$L$2:$L$401,"Yes"))</f>
        <v/>
      </c>
      <c r="F9" s="17">
        <f>IF($A9="","",COUNTIFS(Library!$A$2:$A$401,$A9,Library!$G$2:$G$401,"Clinical trial")+COUNTIFS(Library!$A$2:$A$401,$A9,Library!$G$2:$G$401,"Extension study"))</f>
        <v/>
      </c>
      <c r="G9" s="17">
        <f>IF($A9="","",COUNTIFS(Library!$A$2:$A$401,$A9,Library!$G$2:$G$401,"Registry / Real-world study")+COUNTIFS(Library!$A$2:$A$401,$A9,Library!$G$2:$G$401,"Natural history study"))</f>
        <v/>
      </c>
      <c r="H9" s="17">
        <f>IF($A9="","",COUNTIFS(Library!$A$2:$A$401,$A9,Library!$G$2:$G$401,"Guideline / Consensus")+COUNTIFS(Library!$A$2:$A$401,$A9,Library!$G$2:$G$401,"Expert recommendation"))</f>
        <v/>
      </c>
      <c r="I9" s="17">
        <f>IF($A9="","",COUNTIFS(Library!$A$2:$A$401,$A9,Library!$AE$2:$AE$401,"Internal use only")+COUNTIFS(Library!$A$2:$A$401,$A9,Library!$AE$2:$AE$401,"Confidential"))</f>
        <v/>
      </c>
      <c r="J9" s="18">
        <f>IF($A9="","",IF(COUNTIFS(Library!$A$2:$A$401,$A9,Library!$Z$2:$Z$401,"&gt;0")=0,"",_xlfn.MINIFS(Library!$Z$2:$Z$401,Library!$A$2:$A$401,$A9)))</f>
        <v/>
      </c>
      <c r="K9" s="18">
        <f>IF($A9="","",IF(COUNTIFS(Library!$A$2:$A$401,$A9,Library!$Z$2:$Z$401,"&gt;0")=0,"",_xlfn.MAXIFS(Library!$Z$2:$Z$401,Library!$A$2:$A$401,$A9)))</f>
        <v/>
      </c>
    </row>
    <row r="10">
      <c r="A10" s="17">
        <f>IF(Products!$A$7="","",Products!$A$7)</f>
        <v/>
      </c>
      <c r="B10" s="17">
        <f>IF($A10="","",Products!$C$7)</f>
        <v/>
      </c>
      <c r="C10" s="17">
        <f>IF($A10="","",Products!$F$7)</f>
        <v/>
      </c>
      <c r="D10" s="17">
        <f>IF($A10="","",COUNTIFS(Library!$A$2:$A$401,$A10))</f>
        <v/>
      </c>
      <c r="E10" s="17">
        <f>IF($A10="","",COUNTIFS(Library!$A$2:$A$401,$A10,Library!$L$2:$L$401,"Yes"))</f>
        <v/>
      </c>
      <c r="F10" s="17">
        <f>IF($A10="","",COUNTIFS(Library!$A$2:$A$401,$A10,Library!$G$2:$G$401,"Clinical trial")+COUNTIFS(Library!$A$2:$A$401,$A10,Library!$G$2:$G$401,"Extension study"))</f>
        <v/>
      </c>
      <c r="G10" s="17">
        <f>IF($A10="","",COUNTIFS(Library!$A$2:$A$401,$A10,Library!$G$2:$G$401,"Registry / Real-world study")+COUNTIFS(Library!$A$2:$A$401,$A10,Library!$G$2:$G$401,"Natural history study"))</f>
        <v/>
      </c>
      <c r="H10" s="17">
        <f>IF($A10="","",COUNTIFS(Library!$A$2:$A$401,$A10,Library!$G$2:$G$401,"Guideline / Consensus")+COUNTIFS(Library!$A$2:$A$401,$A10,Library!$G$2:$G$401,"Expert recommendation"))</f>
        <v/>
      </c>
      <c r="I10" s="17">
        <f>IF($A10="","",COUNTIFS(Library!$A$2:$A$401,$A10,Library!$AE$2:$AE$401,"Internal use only")+COUNTIFS(Library!$A$2:$A$401,$A10,Library!$AE$2:$AE$401,"Confidential"))</f>
        <v/>
      </c>
      <c r="J10" s="18">
        <f>IF($A10="","",IF(COUNTIFS(Library!$A$2:$A$401,$A10,Library!$Z$2:$Z$401,"&gt;0")=0,"",_xlfn.MINIFS(Library!$Z$2:$Z$401,Library!$A$2:$A$401,$A10)))</f>
        <v/>
      </c>
      <c r="K10" s="18">
        <f>IF($A10="","",IF(COUNTIFS(Library!$A$2:$A$401,$A10,Library!$Z$2:$Z$401,"&gt;0")=0,"",_xlfn.MAXIFS(Library!$Z$2:$Z$401,Library!$A$2:$A$401,$A10)))</f>
        <v/>
      </c>
    </row>
    <row r="11">
      <c r="A11" s="17">
        <f>IF(Products!$A$8="","",Products!$A$8)</f>
        <v/>
      </c>
      <c r="B11" s="17">
        <f>IF($A11="","",Products!$C$8)</f>
        <v/>
      </c>
      <c r="C11" s="17">
        <f>IF($A11="","",Products!$F$8)</f>
        <v/>
      </c>
      <c r="D11" s="17">
        <f>IF($A11="","",COUNTIFS(Library!$A$2:$A$401,$A11))</f>
        <v/>
      </c>
      <c r="E11" s="17">
        <f>IF($A11="","",COUNTIFS(Library!$A$2:$A$401,$A11,Library!$L$2:$L$401,"Yes"))</f>
        <v/>
      </c>
      <c r="F11" s="17">
        <f>IF($A11="","",COUNTIFS(Library!$A$2:$A$401,$A11,Library!$G$2:$G$401,"Clinical trial")+COUNTIFS(Library!$A$2:$A$401,$A11,Library!$G$2:$G$401,"Extension study"))</f>
        <v/>
      </c>
      <c r="G11" s="17">
        <f>IF($A11="","",COUNTIFS(Library!$A$2:$A$401,$A11,Library!$G$2:$G$401,"Registry / Real-world study")+COUNTIFS(Library!$A$2:$A$401,$A11,Library!$G$2:$G$401,"Natural history study"))</f>
        <v/>
      </c>
      <c r="H11" s="17">
        <f>IF($A11="","",COUNTIFS(Library!$A$2:$A$401,$A11,Library!$G$2:$G$401,"Guideline / Consensus")+COUNTIFS(Library!$A$2:$A$401,$A11,Library!$G$2:$G$401,"Expert recommendation"))</f>
        <v/>
      </c>
      <c r="I11" s="17">
        <f>IF($A11="","",COUNTIFS(Library!$A$2:$A$401,$A11,Library!$AE$2:$AE$401,"Internal use only")+COUNTIFS(Library!$A$2:$A$401,$A11,Library!$AE$2:$AE$401,"Confidential"))</f>
        <v/>
      </c>
      <c r="J11" s="18">
        <f>IF($A11="","",IF(COUNTIFS(Library!$A$2:$A$401,$A11,Library!$Z$2:$Z$401,"&gt;0")=0,"",_xlfn.MINIFS(Library!$Z$2:$Z$401,Library!$A$2:$A$401,$A11)))</f>
        <v/>
      </c>
      <c r="K11" s="18">
        <f>IF($A11="","",IF(COUNTIFS(Library!$A$2:$A$401,$A11,Library!$Z$2:$Z$401,"&gt;0")=0,"",_xlfn.MAXIFS(Library!$Z$2:$Z$401,Library!$A$2:$A$401,$A11)))</f>
        <v/>
      </c>
    </row>
    <row r="12">
      <c r="A12" s="17">
        <f>IF(Products!$A$9="","",Products!$A$9)</f>
        <v/>
      </c>
      <c r="B12" s="17">
        <f>IF($A12="","",Products!$C$9)</f>
        <v/>
      </c>
      <c r="C12" s="17">
        <f>IF($A12="","",Products!$F$9)</f>
        <v/>
      </c>
      <c r="D12" s="17">
        <f>IF($A12="","",COUNTIFS(Library!$A$2:$A$401,$A12))</f>
        <v/>
      </c>
      <c r="E12" s="17">
        <f>IF($A12="","",COUNTIFS(Library!$A$2:$A$401,$A12,Library!$L$2:$L$401,"Yes"))</f>
        <v/>
      </c>
      <c r="F12" s="17">
        <f>IF($A12="","",COUNTIFS(Library!$A$2:$A$401,$A12,Library!$G$2:$G$401,"Clinical trial")+COUNTIFS(Library!$A$2:$A$401,$A12,Library!$G$2:$G$401,"Extension study"))</f>
        <v/>
      </c>
      <c r="G12" s="17">
        <f>IF($A12="","",COUNTIFS(Library!$A$2:$A$401,$A12,Library!$G$2:$G$401,"Registry / Real-world study")+COUNTIFS(Library!$A$2:$A$401,$A12,Library!$G$2:$G$401,"Natural history study"))</f>
        <v/>
      </c>
      <c r="H12" s="17">
        <f>IF($A12="","",COUNTIFS(Library!$A$2:$A$401,$A12,Library!$G$2:$G$401,"Guideline / Consensus")+COUNTIFS(Library!$A$2:$A$401,$A12,Library!$G$2:$G$401,"Expert recommendation"))</f>
        <v/>
      </c>
      <c r="I12" s="17">
        <f>IF($A12="","",COUNTIFS(Library!$A$2:$A$401,$A12,Library!$AE$2:$AE$401,"Internal use only")+COUNTIFS(Library!$A$2:$A$401,$A12,Library!$AE$2:$AE$401,"Confidential"))</f>
        <v/>
      </c>
      <c r="J12" s="18">
        <f>IF($A12="","",IF(COUNTIFS(Library!$A$2:$A$401,$A12,Library!$Z$2:$Z$401,"&gt;0")=0,"",_xlfn.MINIFS(Library!$Z$2:$Z$401,Library!$A$2:$A$401,$A12)))</f>
        <v/>
      </c>
      <c r="K12" s="18">
        <f>IF($A12="","",IF(COUNTIFS(Library!$A$2:$A$401,$A12,Library!$Z$2:$Z$401,"&gt;0")=0,"",_xlfn.MAXIFS(Library!$Z$2:$Z$401,Library!$A$2:$A$401,$A12)))</f>
        <v/>
      </c>
    </row>
    <row r="13">
      <c r="A13" s="17">
        <f>IF(Products!$A$10="","",Products!$A$10)</f>
        <v/>
      </c>
      <c r="B13" s="17">
        <f>IF($A13="","",Products!$C$10)</f>
        <v/>
      </c>
      <c r="C13" s="17">
        <f>IF($A13="","",Products!$F$10)</f>
        <v/>
      </c>
      <c r="D13" s="17">
        <f>IF($A13="","",COUNTIFS(Library!$A$2:$A$401,$A13))</f>
        <v/>
      </c>
      <c r="E13" s="17">
        <f>IF($A13="","",COUNTIFS(Library!$A$2:$A$401,$A13,Library!$L$2:$L$401,"Yes"))</f>
        <v/>
      </c>
      <c r="F13" s="17">
        <f>IF($A13="","",COUNTIFS(Library!$A$2:$A$401,$A13,Library!$G$2:$G$401,"Clinical trial")+COUNTIFS(Library!$A$2:$A$401,$A13,Library!$G$2:$G$401,"Extension study"))</f>
        <v/>
      </c>
      <c r="G13" s="17">
        <f>IF($A13="","",COUNTIFS(Library!$A$2:$A$401,$A13,Library!$G$2:$G$401,"Registry / Real-world study")+COUNTIFS(Library!$A$2:$A$401,$A13,Library!$G$2:$G$401,"Natural history study"))</f>
        <v/>
      </c>
      <c r="H13" s="17">
        <f>IF($A13="","",COUNTIFS(Library!$A$2:$A$401,$A13,Library!$G$2:$G$401,"Guideline / Consensus")+COUNTIFS(Library!$A$2:$A$401,$A13,Library!$G$2:$G$401,"Expert recommendation"))</f>
        <v/>
      </c>
      <c r="I13" s="17">
        <f>IF($A13="","",COUNTIFS(Library!$A$2:$A$401,$A13,Library!$AE$2:$AE$401,"Internal use only")+COUNTIFS(Library!$A$2:$A$401,$A13,Library!$AE$2:$AE$401,"Confidential"))</f>
        <v/>
      </c>
      <c r="J13" s="18">
        <f>IF($A13="","",IF(COUNTIFS(Library!$A$2:$A$401,$A13,Library!$Z$2:$Z$401,"&gt;0")=0,"",_xlfn.MINIFS(Library!$Z$2:$Z$401,Library!$A$2:$A$401,$A13)))</f>
        <v/>
      </c>
      <c r="K13" s="18">
        <f>IF($A13="","",IF(COUNTIFS(Library!$A$2:$A$401,$A13,Library!$Z$2:$Z$401,"&gt;0")=0,"",_xlfn.MAXIFS(Library!$Z$2:$Z$401,Library!$A$2:$A$401,$A13)))</f>
        <v/>
      </c>
    </row>
    <row r="14">
      <c r="A14" s="17">
        <f>IF(Products!$A$11="","",Products!$A$11)</f>
        <v/>
      </c>
      <c r="B14" s="17">
        <f>IF($A14="","",Products!$C$11)</f>
        <v/>
      </c>
      <c r="C14" s="17">
        <f>IF($A14="","",Products!$F$11)</f>
        <v/>
      </c>
      <c r="D14" s="17">
        <f>IF($A14="","",COUNTIFS(Library!$A$2:$A$401,$A14))</f>
        <v/>
      </c>
      <c r="E14" s="17">
        <f>IF($A14="","",COUNTIFS(Library!$A$2:$A$401,$A14,Library!$L$2:$L$401,"Yes"))</f>
        <v/>
      </c>
      <c r="F14" s="17">
        <f>IF($A14="","",COUNTIFS(Library!$A$2:$A$401,$A14,Library!$G$2:$G$401,"Clinical trial")+COUNTIFS(Library!$A$2:$A$401,$A14,Library!$G$2:$G$401,"Extension study"))</f>
        <v/>
      </c>
      <c r="G14" s="17">
        <f>IF($A14="","",COUNTIFS(Library!$A$2:$A$401,$A14,Library!$G$2:$G$401,"Registry / Real-world study")+COUNTIFS(Library!$A$2:$A$401,$A14,Library!$G$2:$G$401,"Natural history study"))</f>
        <v/>
      </c>
      <c r="H14" s="17">
        <f>IF($A14="","",COUNTIFS(Library!$A$2:$A$401,$A14,Library!$G$2:$G$401,"Guideline / Consensus")+COUNTIFS(Library!$A$2:$A$401,$A14,Library!$G$2:$G$401,"Expert recommendation"))</f>
        <v/>
      </c>
      <c r="I14" s="17">
        <f>IF($A14="","",COUNTIFS(Library!$A$2:$A$401,$A14,Library!$AE$2:$AE$401,"Internal use only")+COUNTIFS(Library!$A$2:$A$401,$A14,Library!$AE$2:$AE$401,"Confidential"))</f>
        <v/>
      </c>
      <c r="J14" s="18">
        <f>IF($A14="","",IF(COUNTIFS(Library!$A$2:$A$401,$A14,Library!$Z$2:$Z$401,"&gt;0")=0,"",_xlfn.MINIFS(Library!$Z$2:$Z$401,Library!$A$2:$A$401,$A14)))</f>
        <v/>
      </c>
      <c r="K14" s="18">
        <f>IF($A14="","",IF(COUNTIFS(Library!$A$2:$A$401,$A14,Library!$Z$2:$Z$401,"&gt;0")=0,"",_xlfn.MAXIFS(Library!$Z$2:$Z$401,Library!$A$2:$A$401,$A14)))</f>
        <v/>
      </c>
    </row>
    <row r="15">
      <c r="A15" s="17">
        <f>IF(Products!$A$12="","",Products!$A$12)</f>
        <v/>
      </c>
      <c r="B15" s="17">
        <f>IF($A15="","",Products!$C$12)</f>
        <v/>
      </c>
      <c r="C15" s="17">
        <f>IF($A15="","",Products!$F$12)</f>
        <v/>
      </c>
      <c r="D15" s="17">
        <f>IF($A15="","",COUNTIFS(Library!$A$2:$A$401,$A15))</f>
        <v/>
      </c>
      <c r="E15" s="17">
        <f>IF($A15="","",COUNTIFS(Library!$A$2:$A$401,$A15,Library!$L$2:$L$401,"Yes"))</f>
        <v/>
      </c>
      <c r="F15" s="17">
        <f>IF($A15="","",COUNTIFS(Library!$A$2:$A$401,$A15,Library!$G$2:$G$401,"Clinical trial")+COUNTIFS(Library!$A$2:$A$401,$A15,Library!$G$2:$G$401,"Extension study"))</f>
        <v/>
      </c>
      <c r="G15" s="17">
        <f>IF($A15="","",COUNTIFS(Library!$A$2:$A$401,$A15,Library!$G$2:$G$401,"Registry / Real-world study")+COUNTIFS(Library!$A$2:$A$401,$A15,Library!$G$2:$G$401,"Natural history study"))</f>
        <v/>
      </c>
      <c r="H15" s="17">
        <f>IF($A15="","",COUNTIFS(Library!$A$2:$A$401,$A15,Library!$G$2:$G$401,"Guideline / Consensus")+COUNTIFS(Library!$A$2:$A$401,$A15,Library!$G$2:$G$401,"Expert recommendation"))</f>
        <v/>
      </c>
      <c r="I15" s="17">
        <f>IF($A15="","",COUNTIFS(Library!$A$2:$A$401,$A15,Library!$AE$2:$AE$401,"Internal use only")+COUNTIFS(Library!$A$2:$A$401,$A15,Library!$AE$2:$AE$401,"Confidential"))</f>
        <v/>
      </c>
      <c r="J15" s="18">
        <f>IF($A15="","",IF(COUNTIFS(Library!$A$2:$A$401,$A15,Library!$Z$2:$Z$401,"&gt;0")=0,"",_xlfn.MINIFS(Library!$Z$2:$Z$401,Library!$A$2:$A$401,$A15)))</f>
        <v/>
      </c>
      <c r="K15" s="18">
        <f>IF($A15="","",IF(COUNTIFS(Library!$A$2:$A$401,$A15,Library!$Z$2:$Z$401,"&gt;0")=0,"",_xlfn.MAXIFS(Library!$Z$2:$Z$401,Library!$A$2:$A$401,$A15)))</f>
        <v/>
      </c>
    </row>
    <row r="16">
      <c r="A16" s="17">
        <f>IF(Products!$A$13="","",Products!$A$13)</f>
        <v/>
      </c>
      <c r="B16" s="17">
        <f>IF($A16="","",Products!$C$13)</f>
        <v/>
      </c>
      <c r="C16" s="17">
        <f>IF($A16="","",Products!$F$13)</f>
        <v/>
      </c>
      <c r="D16" s="17">
        <f>IF($A16="","",COUNTIFS(Library!$A$2:$A$401,$A16))</f>
        <v/>
      </c>
      <c r="E16" s="17">
        <f>IF($A16="","",COUNTIFS(Library!$A$2:$A$401,$A16,Library!$L$2:$L$401,"Yes"))</f>
        <v/>
      </c>
      <c r="F16" s="17">
        <f>IF($A16="","",COUNTIFS(Library!$A$2:$A$401,$A16,Library!$G$2:$G$401,"Clinical trial")+COUNTIFS(Library!$A$2:$A$401,$A16,Library!$G$2:$G$401,"Extension study"))</f>
        <v/>
      </c>
      <c r="G16" s="17">
        <f>IF($A16="","",COUNTIFS(Library!$A$2:$A$401,$A16,Library!$G$2:$G$401,"Registry / Real-world study")+COUNTIFS(Library!$A$2:$A$401,$A16,Library!$G$2:$G$401,"Natural history study"))</f>
        <v/>
      </c>
      <c r="H16" s="17">
        <f>IF($A16="","",COUNTIFS(Library!$A$2:$A$401,$A16,Library!$G$2:$G$401,"Guideline / Consensus")+COUNTIFS(Library!$A$2:$A$401,$A16,Library!$G$2:$G$401,"Expert recommendation"))</f>
        <v/>
      </c>
      <c r="I16" s="17">
        <f>IF($A16="","",COUNTIFS(Library!$A$2:$A$401,$A16,Library!$AE$2:$AE$401,"Internal use only")+COUNTIFS(Library!$A$2:$A$401,$A16,Library!$AE$2:$AE$401,"Confidential"))</f>
        <v/>
      </c>
      <c r="J16" s="18">
        <f>IF($A16="","",IF(COUNTIFS(Library!$A$2:$A$401,$A16,Library!$Z$2:$Z$401,"&gt;0")=0,"",_xlfn.MINIFS(Library!$Z$2:$Z$401,Library!$A$2:$A$401,$A16)))</f>
        <v/>
      </c>
      <c r="K16" s="18">
        <f>IF($A16="","",IF(COUNTIFS(Library!$A$2:$A$401,$A16,Library!$Z$2:$Z$401,"&gt;0")=0,"",_xlfn.MAXIFS(Library!$Z$2:$Z$401,Library!$A$2:$A$401,$A16)))</f>
        <v/>
      </c>
    </row>
    <row r="17">
      <c r="A17" s="17">
        <f>IF(Products!$A$14="","",Products!$A$14)</f>
        <v/>
      </c>
      <c r="B17" s="17">
        <f>IF($A17="","",Products!$C$14)</f>
        <v/>
      </c>
      <c r="C17" s="17">
        <f>IF($A17="","",Products!$F$14)</f>
        <v/>
      </c>
      <c r="D17" s="17">
        <f>IF($A17="","",COUNTIFS(Library!$A$2:$A$401,$A17))</f>
        <v/>
      </c>
      <c r="E17" s="17">
        <f>IF($A17="","",COUNTIFS(Library!$A$2:$A$401,$A17,Library!$L$2:$L$401,"Yes"))</f>
        <v/>
      </c>
      <c r="F17" s="17">
        <f>IF($A17="","",COUNTIFS(Library!$A$2:$A$401,$A17,Library!$G$2:$G$401,"Clinical trial")+COUNTIFS(Library!$A$2:$A$401,$A17,Library!$G$2:$G$401,"Extension study"))</f>
        <v/>
      </c>
      <c r="G17" s="17">
        <f>IF($A17="","",COUNTIFS(Library!$A$2:$A$401,$A17,Library!$G$2:$G$401,"Registry / Real-world study")+COUNTIFS(Library!$A$2:$A$401,$A17,Library!$G$2:$G$401,"Natural history study"))</f>
        <v/>
      </c>
      <c r="H17" s="17">
        <f>IF($A17="","",COUNTIFS(Library!$A$2:$A$401,$A17,Library!$G$2:$G$401,"Guideline / Consensus")+COUNTIFS(Library!$A$2:$A$401,$A17,Library!$G$2:$G$401,"Expert recommendation"))</f>
        <v/>
      </c>
      <c r="I17" s="17">
        <f>IF($A17="","",COUNTIFS(Library!$A$2:$A$401,$A17,Library!$AE$2:$AE$401,"Internal use only")+COUNTIFS(Library!$A$2:$A$401,$A17,Library!$AE$2:$AE$401,"Confidential"))</f>
        <v/>
      </c>
      <c r="J17" s="18">
        <f>IF($A17="","",IF(COUNTIFS(Library!$A$2:$A$401,$A17,Library!$Z$2:$Z$401,"&gt;0")=0,"",_xlfn.MINIFS(Library!$Z$2:$Z$401,Library!$A$2:$A$401,$A17)))</f>
        <v/>
      </c>
      <c r="K17" s="18">
        <f>IF($A17="","",IF(COUNTIFS(Library!$A$2:$A$401,$A17,Library!$Z$2:$Z$401,"&gt;0")=0,"",_xlfn.MAXIFS(Library!$Z$2:$Z$401,Library!$A$2:$A$401,$A17)))</f>
        <v/>
      </c>
    </row>
    <row r="18">
      <c r="A18" s="17">
        <f>IF(Products!$A$15="","",Products!$A$15)</f>
        <v/>
      </c>
      <c r="B18" s="17">
        <f>IF($A18="","",Products!$C$15)</f>
        <v/>
      </c>
      <c r="C18" s="17">
        <f>IF($A18="","",Products!$F$15)</f>
        <v/>
      </c>
      <c r="D18" s="17">
        <f>IF($A18="","",COUNTIFS(Library!$A$2:$A$401,$A18))</f>
        <v/>
      </c>
      <c r="E18" s="17">
        <f>IF($A18="","",COUNTIFS(Library!$A$2:$A$401,$A18,Library!$L$2:$L$401,"Yes"))</f>
        <v/>
      </c>
      <c r="F18" s="17">
        <f>IF($A18="","",COUNTIFS(Library!$A$2:$A$401,$A18,Library!$G$2:$G$401,"Clinical trial")+COUNTIFS(Library!$A$2:$A$401,$A18,Library!$G$2:$G$401,"Extension study"))</f>
        <v/>
      </c>
      <c r="G18" s="17">
        <f>IF($A18="","",COUNTIFS(Library!$A$2:$A$401,$A18,Library!$G$2:$G$401,"Registry / Real-world study")+COUNTIFS(Library!$A$2:$A$401,$A18,Library!$G$2:$G$401,"Natural history study"))</f>
        <v/>
      </c>
      <c r="H18" s="17">
        <f>IF($A18="","",COUNTIFS(Library!$A$2:$A$401,$A18,Library!$G$2:$G$401,"Guideline / Consensus")+COUNTIFS(Library!$A$2:$A$401,$A18,Library!$G$2:$G$401,"Expert recommendation"))</f>
        <v/>
      </c>
      <c r="I18" s="17">
        <f>IF($A18="","",COUNTIFS(Library!$A$2:$A$401,$A18,Library!$AE$2:$AE$401,"Internal use only")+COUNTIFS(Library!$A$2:$A$401,$A18,Library!$AE$2:$AE$401,"Confidential"))</f>
        <v/>
      </c>
      <c r="J18" s="18">
        <f>IF($A18="","",IF(COUNTIFS(Library!$A$2:$A$401,$A18,Library!$Z$2:$Z$401,"&gt;0")=0,"",_xlfn.MINIFS(Library!$Z$2:$Z$401,Library!$A$2:$A$401,$A18)))</f>
        <v/>
      </c>
      <c r="K18" s="18">
        <f>IF($A18="","",IF(COUNTIFS(Library!$A$2:$A$401,$A18,Library!$Z$2:$Z$401,"&gt;0")=0,"",_xlfn.MAXIFS(Library!$Z$2:$Z$401,Library!$A$2:$A$401,$A18)))</f>
        <v/>
      </c>
    </row>
    <row r="19">
      <c r="A19" s="17">
        <f>IF(Products!$A$16="","",Products!$A$16)</f>
        <v/>
      </c>
      <c r="B19" s="17">
        <f>IF($A19="","",Products!$C$16)</f>
        <v/>
      </c>
      <c r="C19" s="17">
        <f>IF($A19="","",Products!$F$16)</f>
        <v/>
      </c>
      <c r="D19" s="17">
        <f>IF($A19="","",COUNTIFS(Library!$A$2:$A$401,$A19))</f>
        <v/>
      </c>
      <c r="E19" s="17">
        <f>IF($A19="","",COUNTIFS(Library!$A$2:$A$401,$A19,Library!$L$2:$L$401,"Yes"))</f>
        <v/>
      </c>
      <c r="F19" s="17">
        <f>IF($A19="","",COUNTIFS(Library!$A$2:$A$401,$A19,Library!$G$2:$G$401,"Clinical trial")+COUNTIFS(Library!$A$2:$A$401,$A19,Library!$G$2:$G$401,"Extension study"))</f>
        <v/>
      </c>
      <c r="G19" s="17">
        <f>IF($A19="","",COUNTIFS(Library!$A$2:$A$401,$A19,Library!$G$2:$G$401,"Registry / Real-world study")+COUNTIFS(Library!$A$2:$A$401,$A19,Library!$G$2:$G$401,"Natural history study"))</f>
        <v/>
      </c>
      <c r="H19" s="17">
        <f>IF($A19="","",COUNTIFS(Library!$A$2:$A$401,$A19,Library!$G$2:$G$401,"Guideline / Consensus")+COUNTIFS(Library!$A$2:$A$401,$A19,Library!$G$2:$G$401,"Expert recommendation"))</f>
        <v/>
      </c>
      <c r="I19" s="17">
        <f>IF($A19="","",COUNTIFS(Library!$A$2:$A$401,$A19,Library!$AE$2:$AE$401,"Internal use only")+COUNTIFS(Library!$A$2:$A$401,$A19,Library!$AE$2:$AE$401,"Confidential"))</f>
        <v/>
      </c>
      <c r="J19" s="18">
        <f>IF($A19="","",IF(COUNTIFS(Library!$A$2:$A$401,$A19,Library!$Z$2:$Z$401,"&gt;0")=0,"",_xlfn.MINIFS(Library!$Z$2:$Z$401,Library!$A$2:$A$401,$A19)))</f>
        <v/>
      </c>
      <c r="K19" s="18">
        <f>IF($A19="","",IF(COUNTIFS(Library!$A$2:$A$401,$A19,Library!$Z$2:$Z$401,"&gt;0")=0,"",_xlfn.MAXIFS(Library!$Z$2:$Z$401,Library!$A$2:$A$401,$A19)))</f>
        <v/>
      </c>
    </row>
    <row r="20">
      <c r="A20" s="17">
        <f>IF(Products!$A$17="","",Products!$A$17)</f>
        <v/>
      </c>
      <c r="B20" s="17">
        <f>IF($A20="","",Products!$C$17)</f>
        <v/>
      </c>
      <c r="C20" s="17">
        <f>IF($A20="","",Products!$F$17)</f>
        <v/>
      </c>
      <c r="D20" s="17">
        <f>IF($A20="","",COUNTIFS(Library!$A$2:$A$401,$A20))</f>
        <v/>
      </c>
      <c r="E20" s="17">
        <f>IF($A20="","",COUNTIFS(Library!$A$2:$A$401,$A20,Library!$L$2:$L$401,"Yes"))</f>
        <v/>
      </c>
      <c r="F20" s="17">
        <f>IF($A20="","",COUNTIFS(Library!$A$2:$A$401,$A20,Library!$G$2:$G$401,"Clinical trial")+COUNTIFS(Library!$A$2:$A$401,$A20,Library!$G$2:$G$401,"Extension study"))</f>
        <v/>
      </c>
      <c r="G20" s="17">
        <f>IF($A20="","",COUNTIFS(Library!$A$2:$A$401,$A20,Library!$G$2:$G$401,"Registry / Real-world study")+COUNTIFS(Library!$A$2:$A$401,$A20,Library!$G$2:$G$401,"Natural history study"))</f>
        <v/>
      </c>
      <c r="H20" s="17">
        <f>IF($A20="","",COUNTIFS(Library!$A$2:$A$401,$A20,Library!$G$2:$G$401,"Guideline / Consensus")+COUNTIFS(Library!$A$2:$A$401,$A20,Library!$G$2:$G$401,"Expert recommendation"))</f>
        <v/>
      </c>
      <c r="I20" s="17">
        <f>IF($A20="","",COUNTIFS(Library!$A$2:$A$401,$A20,Library!$AE$2:$AE$401,"Internal use only")+COUNTIFS(Library!$A$2:$A$401,$A20,Library!$AE$2:$AE$401,"Confidential"))</f>
        <v/>
      </c>
      <c r="J20" s="18">
        <f>IF($A20="","",IF(COUNTIFS(Library!$A$2:$A$401,$A20,Library!$Z$2:$Z$401,"&gt;0")=0,"",_xlfn.MINIFS(Library!$Z$2:$Z$401,Library!$A$2:$A$401,$A20)))</f>
        <v/>
      </c>
      <c r="K20" s="18">
        <f>IF($A20="","",IF(COUNTIFS(Library!$A$2:$A$401,$A20,Library!$Z$2:$Z$401,"&gt;0")=0,"",_xlfn.MAXIFS(Library!$Z$2:$Z$401,Library!$A$2:$A$401,$A20)))</f>
        <v/>
      </c>
    </row>
    <row r="21">
      <c r="A21" s="17">
        <f>IF(Products!$A$18="","",Products!$A$18)</f>
        <v/>
      </c>
      <c r="B21" s="17">
        <f>IF($A21="","",Products!$C$18)</f>
        <v/>
      </c>
      <c r="C21" s="17">
        <f>IF($A21="","",Products!$F$18)</f>
        <v/>
      </c>
      <c r="D21" s="17">
        <f>IF($A21="","",COUNTIFS(Library!$A$2:$A$401,$A21))</f>
        <v/>
      </c>
      <c r="E21" s="17">
        <f>IF($A21="","",COUNTIFS(Library!$A$2:$A$401,$A21,Library!$L$2:$L$401,"Yes"))</f>
        <v/>
      </c>
      <c r="F21" s="17">
        <f>IF($A21="","",COUNTIFS(Library!$A$2:$A$401,$A21,Library!$G$2:$G$401,"Clinical trial")+COUNTIFS(Library!$A$2:$A$401,$A21,Library!$G$2:$G$401,"Extension study"))</f>
        <v/>
      </c>
      <c r="G21" s="17">
        <f>IF($A21="","",COUNTIFS(Library!$A$2:$A$401,$A21,Library!$G$2:$G$401,"Registry / Real-world study")+COUNTIFS(Library!$A$2:$A$401,$A21,Library!$G$2:$G$401,"Natural history study"))</f>
        <v/>
      </c>
      <c r="H21" s="17">
        <f>IF($A21="","",COUNTIFS(Library!$A$2:$A$401,$A21,Library!$G$2:$G$401,"Guideline / Consensus")+COUNTIFS(Library!$A$2:$A$401,$A21,Library!$G$2:$G$401,"Expert recommendation"))</f>
        <v/>
      </c>
      <c r="I21" s="17">
        <f>IF($A21="","",COUNTIFS(Library!$A$2:$A$401,$A21,Library!$AE$2:$AE$401,"Internal use only")+COUNTIFS(Library!$A$2:$A$401,$A21,Library!$AE$2:$AE$401,"Confidential"))</f>
        <v/>
      </c>
      <c r="J21" s="18">
        <f>IF($A21="","",IF(COUNTIFS(Library!$A$2:$A$401,$A21,Library!$Z$2:$Z$401,"&gt;0")=0,"",_xlfn.MINIFS(Library!$Z$2:$Z$401,Library!$A$2:$A$401,$A21)))</f>
        <v/>
      </c>
      <c r="K21" s="18">
        <f>IF($A21="","",IF(COUNTIFS(Library!$A$2:$A$401,$A21,Library!$Z$2:$Z$401,"&gt;0")=0,"",_xlfn.MAXIFS(Library!$Z$2:$Z$401,Library!$A$2:$A$401,$A21)))</f>
        <v/>
      </c>
    </row>
    <row r="22">
      <c r="A22" s="17">
        <f>IF(Products!$A$19="","",Products!$A$19)</f>
        <v/>
      </c>
      <c r="B22" s="17">
        <f>IF($A22="","",Products!$C$19)</f>
        <v/>
      </c>
      <c r="C22" s="17">
        <f>IF($A22="","",Products!$F$19)</f>
        <v/>
      </c>
      <c r="D22" s="17">
        <f>IF($A22="","",COUNTIFS(Library!$A$2:$A$401,$A22))</f>
        <v/>
      </c>
      <c r="E22" s="17">
        <f>IF($A22="","",COUNTIFS(Library!$A$2:$A$401,$A22,Library!$L$2:$L$401,"Yes"))</f>
        <v/>
      </c>
      <c r="F22" s="17">
        <f>IF($A22="","",COUNTIFS(Library!$A$2:$A$401,$A22,Library!$G$2:$G$401,"Clinical trial")+COUNTIFS(Library!$A$2:$A$401,$A22,Library!$G$2:$G$401,"Extension study"))</f>
        <v/>
      </c>
      <c r="G22" s="17">
        <f>IF($A22="","",COUNTIFS(Library!$A$2:$A$401,$A22,Library!$G$2:$G$401,"Registry / Real-world study")+COUNTIFS(Library!$A$2:$A$401,$A22,Library!$G$2:$G$401,"Natural history study"))</f>
        <v/>
      </c>
      <c r="H22" s="17">
        <f>IF($A22="","",COUNTIFS(Library!$A$2:$A$401,$A22,Library!$G$2:$G$401,"Guideline / Consensus")+COUNTIFS(Library!$A$2:$A$401,$A22,Library!$G$2:$G$401,"Expert recommendation"))</f>
        <v/>
      </c>
      <c r="I22" s="17">
        <f>IF($A22="","",COUNTIFS(Library!$A$2:$A$401,$A22,Library!$AE$2:$AE$401,"Internal use only")+COUNTIFS(Library!$A$2:$A$401,$A22,Library!$AE$2:$AE$401,"Confidential"))</f>
        <v/>
      </c>
      <c r="J22" s="18">
        <f>IF($A22="","",IF(COUNTIFS(Library!$A$2:$A$401,$A22,Library!$Z$2:$Z$401,"&gt;0")=0,"",_xlfn.MINIFS(Library!$Z$2:$Z$401,Library!$A$2:$A$401,$A22)))</f>
        <v/>
      </c>
      <c r="K22" s="18">
        <f>IF($A22="","",IF(COUNTIFS(Library!$A$2:$A$401,$A22,Library!$Z$2:$Z$401,"&gt;0")=0,"",_xlfn.MAXIFS(Library!$Z$2:$Z$401,Library!$A$2:$A$401,$A22)))</f>
        <v/>
      </c>
    </row>
    <row r="23">
      <c r="A23" s="17">
        <f>IF(Products!$A$20="","",Products!$A$20)</f>
        <v/>
      </c>
      <c r="B23" s="17">
        <f>IF($A23="","",Products!$C$20)</f>
        <v/>
      </c>
      <c r="C23" s="17">
        <f>IF($A23="","",Products!$F$20)</f>
        <v/>
      </c>
      <c r="D23" s="17">
        <f>IF($A23="","",COUNTIFS(Library!$A$2:$A$401,$A23))</f>
        <v/>
      </c>
      <c r="E23" s="17">
        <f>IF($A23="","",COUNTIFS(Library!$A$2:$A$401,$A23,Library!$L$2:$L$401,"Yes"))</f>
        <v/>
      </c>
      <c r="F23" s="17">
        <f>IF($A23="","",COUNTIFS(Library!$A$2:$A$401,$A23,Library!$G$2:$G$401,"Clinical trial")+COUNTIFS(Library!$A$2:$A$401,$A23,Library!$G$2:$G$401,"Extension study"))</f>
        <v/>
      </c>
      <c r="G23" s="17">
        <f>IF($A23="","",COUNTIFS(Library!$A$2:$A$401,$A23,Library!$G$2:$G$401,"Registry / Real-world study")+COUNTIFS(Library!$A$2:$A$401,$A23,Library!$G$2:$G$401,"Natural history study"))</f>
        <v/>
      </c>
      <c r="H23" s="17">
        <f>IF($A23="","",COUNTIFS(Library!$A$2:$A$401,$A23,Library!$G$2:$G$401,"Guideline / Consensus")+COUNTIFS(Library!$A$2:$A$401,$A23,Library!$G$2:$G$401,"Expert recommendation"))</f>
        <v/>
      </c>
      <c r="I23" s="17">
        <f>IF($A23="","",COUNTIFS(Library!$A$2:$A$401,$A23,Library!$AE$2:$AE$401,"Internal use only")+COUNTIFS(Library!$A$2:$A$401,$A23,Library!$AE$2:$AE$401,"Confidential"))</f>
        <v/>
      </c>
      <c r="J23" s="18">
        <f>IF($A23="","",IF(COUNTIFS(Library!$A$2:$A$401,$A23,Library!$Z$2:$Z$401,"&gt;0")=0,"",_xlfn.MINIFS(Library!$Z$2:$Z$401,Library!$A$2:$A$401,$A23)))</f>
        <v/>
      </c>
      <c r="K23" s="18">
        <f>IF($A23="","",IF(COUNTIFS(Library!$A$2:$A$401,$A23,Library!$Z$2:$Z$401,"&gt;0")=0,"",_xlfn.MAXIFS(Library!$Z$2:$Z$401,Library!$A$2:$A$401,$A23)))</f>
        <v/>
      </c>
    </row>
    <row r="24">
      <c r="A24" s="17">
        <f>IF(Products!$A$21="","",Products!$A$21)</f>
        <v/>
      </c>
      <c r="B24" s="17">
        <f>IF($A24="","",Products!$C$21)</f>
        <v/>
      </c>
      <c r="C24" s="17">
        <f>IF($A24="","",Products!$F$21)</f>
        <v/>
      </c>
      <c r="D24" s="17">
        <f>IF($A24="","",COUNTIFS(Library!$A$2:$A$401,$A24))</f>
        <v/>
      </c>
      <c r="E24" s="17">
        <f>IF($A24="","",COUNTIFS(Library!$A$2:$A$401,$A24,Library!$L$2:$L$401,"Yes"))</f>
        <v/>
      </c>
      <c r="F24" s="17">
        <f>IF($A24="","",COUNTIFS(Library!$A$2:$A$401,$A24,Library!$G$2:$G$401,"Clinical trial")+COUNTIFS(Library!$A$2:$A$401,$A24,Library!$G$2:$G$401,"Extension study"))</f>
        <v/>
      </c>
      <c r="G24" s="17">
        <f>IF($A24="","",COUNTIFS(Library!$A$2:$A$401,$A24,Library!$G$2:$G$401,"Registry / Real-world study")+COUNTIFS(Library!$A$2:$A$401,$A24,Library!$G$2:$G$401,"Natural history study"))</f>
        <v/>
      </c>
      <c r="H24" s="17">
        <f>IF($A24="","",COUNTIFS(Library!$A$2:$A$401,$A24,Library!$G$2:$G$401,"Guideline / Consensus")+COUNTIFS(Library!$A$2:$A$401,$A24,Library!$G$2:$G$401,"Expert recommendation"))</f>
        <v/>
      </c>
      <c r="I24" s="17">
        <f>IF($A24="","",COUNTIFS(Library!$A$2:$A$401,$A24,Library!$AE$2:$AE$401,"Internal use only")+COUNTIFS(Library!$A$2:$A$401,$A24,Library!$AE$2:$AE$401,"Confidential"))</f>
        <v/>
      </c>
      <c r="J24" s="18">
        <f>IF($A24="","",IF(COUNTIFS(Library!$A$2:$A$401,$A24,Library!$Z$2:$Z$401,"&gt;0")=0,"",_xlfn.MINIFS(Library!$Z$2:$Z$401,Library!$A$2:$A$401,$A24)))</f>
        <v/>
      </c>
      <c r="K24" s="18">
        <f>IF($A24="","",IF(COUNTIFS(Library!$A$2:$A$401,$A24,Library!$Z$2:$Z$401,"&gt;0")=0,"",_xlfn.MAXIFS(Library!$Z$2:$Z$401,Library!$A$2:$A$401,$A24)))</f>
        <v/>
      </c>
    </row>
    <row r="25">
      <c r="A25" s="17">
        <f>IF(Products!$A$22="","",Products!$A$22)</f>
        <v/>
      </c>
      <c r="B25" s="17">
        <f>IF($A25="","",Products!$C$22)</f>
        <v/>
      </c>
      <c r="C25" s="17">
        <f>IF($A25="","",Products!$F$22)</f>
        <v/>
      </c>
      <c r="D25" s="17">
        <f>IF($A25="","",COUNTIFS(Library!$A$2:$A$401,$A25))</f>
        <v/>
      </c>
      <c r="E25" s="17">
        <f>IF($A25="","",COUNTIFS(Library!$A$2:$A$401,$A25,Library!$L$2:$L$401,"Yes"))</f>
        <v/>
      </c>
      <c r="F25" s="17">
        <f>IF($A25="","",COUNTIFS(Library!$A$2:$A$401,$A25,Library!$G$2:$G$401,"Clinical trial")+COUNTIFS(Library!$A$2:$A$401,$A25,Library!$G$2:$G$401,"Extension study"))</f>
        <v/>
      </c>
      <c r="G25" s="17">
        <f>IF($A25="","",COUNTIFS(Library!$A$2:$A$401,$A25,Library!$G$2:$G$401,"Registry / Real-world study")+COUNTIFS(Library!$A$2:$A$401,$A25,Library!$G$2:$G$401,"Natural history study"))</f>
        <v/>
      </c>
      <c r="H25" s="17">
        <f>IF($A25="","",COUNTIFS(Library!$A$2:$A$401,$A25,Library!$G$2:$G$401,"Guideline / Consensus")+COUNTIFS(Library!$A$2:$A$401,$A25,Library!$G$2:$G$401,"Expert recommendation"))</f>
        <v/>
      </c>
      <c r="I25" s="17">
        <f>IF($A25="","",COUNTIFS(Library!$A$2:$A$401,$A25,Library!$AE$2:$AE$401,"Internal use only")+COUNTIFS(Library!$A$2:$A$401,$A25,Library!$AE$2:$AE$401,"Confidential"))</f>
        <v/>
      </c>
      <c r="J25" s="18">
        <f>IF($A25="","",IF(COUNTIFS(Library!$A$2:$A$401,$A25,Library!$Z$2:$Z$401,"&gt;0")=0,"",_xlfn.MINIFS(Library!$Z$2:$Z$401,Library!$A$2:$A$401,$A25)))</f>
        <v/>
      </c>
      <c r="K25" s="18">
        <f>IF($A25="","",IF(COUNTIFS(Library!$A$2:$A$401,$A25,Library!$Z$2:$Z$401,"&gt;0")=0,"",_xlfn.MAXIFS(Library!$Z$2:$Z$401,Library!$A$2:$A$401,$A25)))</f>
        <v/>
      </c>
    </row>
    <row r="26">
      <c r="A26" s="17">
        <f>IF(Products!$A$23="","",Products!$A$23)</f>
        <v/>
      </c>
      <c r="B26" s="17">
        <f>IF($A26="","",Products!$C$23)</f>
        <v/>
      </c>
      <c r="C26" s="17">
        <f>IF($A26="","",Products!$F$23)</f>
        <v/>
      </c>
      <c r="D26" s="17">
        <f>IF($A26="","",COUNTIFS(Library!$A$2:$A$401,$A26))</f>
        <v/>
      </c>
      <c r="E26" s="17">
        <f>IF($A26="","",COUNTIFS(Library!$A$2:$A$401,$A26,Library!$L$2:$L$401,"Yes"))</f>
        <v/>
      </c>
      <c r="F26" s="17">
        <f>IF($A26="","",COUNTIFS(Library!$A$2:$A$401,$A26,Library!$G$2:$G$401,"Clinical trial")+COUNTIFS(Library!$A$2:$A$401,$A26,Library!$G$2:$G$401,"Extension study"))</f>
        <v/>
      </c>
      <c r="G26" s="17">
        <f>IF($A26="","",COUNTIFS(Library!$A$2:$A$401,$A26,Library!$G$2:$G$401,"Registry / Real-world study")+COUNTIFS(Library!$A$2:$A$401,$A26,Library!$G$2:$G$401,"Natural history study"))</f>
        <v/>
      </c>
      <c r="H26" s="17">
        <f>IF($A26="","",COUNTIFS(Library!$A$2:$A$401,$A26,Library!$G$2:$G$401,"Guideline / Consensus")+COUNTIFS(Library!$A$2:$A$401,$A26,Library!$G$2:$G$401,"Expert recommendation"))</f>
        <v/>
      </c>
      <c r="I26" s="17">
        <f>IF($A26="","",COUNTIFS(Library!$A$2:$A$401,$A26,Library!$AE$2:$AE$401,"Internal use only")+COUNTIFS(Library!$A$2:$A$401,$A26,Library!$AE$2:$AE$401,"Confidential"))</f>
        <v/>
      </c>
      <c r="J26" s="18">
        <f>IF($A26="","",IF(COUNTIFS(Library!$A$2:$A$401,$A26,Library!$Z$2:$Z$401,"&gt;0")=0,"",_xlfn.MINIFS(Library!$Z$2:$Z$401,Library!$A$2:$A$401,$A26)))</f>
        <v/>
      </c>
      <c r="K26" s="18">
        <f>IF($A26="","",IF(COUNTIFS(Library!$A$2:$A$401,$A26,Library!$Z$2:$Z$401,"&gt;0")=0,"",_xlfn.MAXIFS(Library!$Z$2:$Z$401,Library!$A$2:$A$401,$A26)))</f>
        <v/>
      </c>
    </row>
    <row r="27">
      <c r="A27" s="17">
        <f>IF(Products!$A$24="","",Products!$A$24)</f>
        <v/>
      </c>
      <c r="B27" s="17">
        <f>IF($A27="","",Products!$C$24)</f>
        <v/>
      </c>
      <c r="C27" s="17">
        <f>IF($A27="","",Products!$F$24)</f>
        <v/>
      </c>
      <c r="D27" s="17">
        <f>IF($A27="","",COUNTIFS(Library!$A$2:$A$401,$A27))</f>
        <v/>
      </c>
      <c r="E27" s="17">
        <f>IF($A27="","",COUNTIFS(Library!$A$2:$A$401,$A27,Library!$L$2:$L$401,"Yes"))</f>
        <v/>
      </c>
      <c r="F27" s="17">
        <f>IF($A27="","",COUNTIFS(Library!$A$2:$A$401,$A27,Library!$G$2:$G$401,"Clinical trial")+COUNTIFS(Library!$A$2:$A$401,$A27,Library!$G$2:$G$401,"Extension study"))</f>
        <v/>
      </c>
      <c r="G27" s="17">
        <f>IF($A27="","",COUNTIFS(Library!$A$2:$A$401,$A27,Library!$G$2:$G$401,"Registry / Real-world study")+COUNTIFS(Library!$A$2:$A$401,$A27,Library!$G$2:$G$401,"Natural history study"))</f>
        <v/>
      </c>
      <c r="H27" s="17">
        <f>IF($A27="","",COUNTIFS(Library!$A$2:$A$401,$A27,Library!$G$2:$G$401,"Guideline / Consensus")+COUNTIFS(Library!$A$2:$A$401,$A27,Library!$G$2:$G$401,"Expert recommendation"))</f>
        <v/>
      </c>
      <c r="I27" s="17">
        <f>IF($A27="","",COUNTIFS(Library!$A$2:$A$401,$A27,Library!$AE$2:$AE$401,"Internal use only")+COUNTIFS(Library!$A$2:$A$401,$A27,Library!$AE$2:$AE$401,"Confidential"))</f>
        <v/>
      </c>
      <c r="J27" s="18">
        <f>IF($A27="","",IF(COUNTIFS(Library!$A$2:$A$401,$A27,Library!$Z$2:$Z$401,"&gt;0")=0,"",_xlfn.MINIFS(Library!$Z$2:$Z$401,Library!$A$2:$A$401,$A27)))</f>
        <v/>
      </c>
      <c r="K27" s="18">
        <f>IF($A27="","",IF(COUNTIFS(Library!$A$2:$A$401,$A27,Library!$Z$2:$Z$401,"&gt;0")=0,"",_xlfn.MAXIFS(Library!$Z$2:$Z$401,Library!$A$2:$A$401,$A27)))</f>
        <v/>
      </c>
    </row>
    <row r="28">
      <c r="A28" s="17">
        <f>IF(Products!$A$25="","",Products!$A$25)</f>
        <v/>
      </c>
      <c r="B28" s="17">
        <f>IF($A28="","",Products!$C$25)</f>
        <v/>
      </c>
      <c r="C28" s="17">
        <f>IF($A28="","",Products!$F$25)</f>
        <v/>
      </c>
      <c r="D28" s="17">
        <f>IF($A28="","",COUNTIFS(Library!$A$2:$A$401,$A28))</f>
        <v/>
      </c>
      <c r="E28" s="17">
        <f>IF($A28="","",COUNTIFS(Library!$A$2:$A$401,$A28,Library!$L$2:$L$401,"Yes"))</f>
        <v/>
      </c>
      <c r="F28" s="17">
        <f>IF($A28="","",COUNTIFS(Library!$A$2:$A$401,$A28,Library!$G$2:$G$401,"Clinical trial")+COUNTIFS(Library!$A$2:$A$401,$A28,Library!$G$2:$G$401,"Extension study"))</f>
        <v/>
      </c>
      <c r="G28" s="17">
        <f>IF($A28="","",COUNTIFS(Library!$A$2:$A$401,$A28,Library!$G$2:$G$401,"Registry / Real-world study")+COUNTIFS(Library!$A$2:$A$401,$A28,Library!$G$2:$G$401,"Natural history study"))</f>
        <v/>
      </c>
      <c r="H28" s="17">
        <f>IF($A28="","",COUNTIFS(Library!$A$2:$A$401,$A28,Library!$G$2:$G$401,"Guideline / Consensus")+COUNTIFS(Library!$A$2:$A$401,$A28,Library!$G$2:$G$401,"Expert recommendation"))</f>
        <v/>
      </c>
      <c r="I28" s="17">
        <f>IF($A28="","",COUNTIFS(Library!$A$2:$A$401,$A28,Library!$AE$2:$AE$401,"Internal use only")+COUNTIFS(Library!$A$2:$A$401,$A28,Library!$AE$2:$AE$401,"Confidential"))</f>
        <v/>
      </c>
      <c r="J28" s="18">
        <f>IF($A28="","",IF(COUNTIFS(Library!$A$2:$A$401,$A28,Library!$Z$2:$Z$401,"&gt;0")=0,"",_xlfn.MINIFS(Library!$Z$2:$Z$401,Library!$A$2:$A$401,$A28)))</f>
        <v/>
      </c>
      <c r="K28" s="18">
        <f>IF($A28="","",IF(COUNTIFS(Library!$A$2:$A$401,$A28,Library!$Z$2:$Z$401,"&gt;0")=0,"",_xlfn.MAXIFS(Library!$Z$2:$Z$401,Library!$A$2:$A$401,$A28)))</f>
        <v/>
      </c>
    </row>
    <row r="29">
      <c r="A29" s="17">
        <f>IF(Products!$A$26="","",Products!$A$26)</f>
        <v/>
      </c>
      <c r="B29" s="17">
        <f>IF($A29="","",Products!$C$26)</f>
        <v/>
      </c>
      <c r="C29" s="17">
        <f>IF($A29="","",Products!$F$26)</f>
        <v/>
      </c>
      <c r="D29" s="17">
        <f>IF($A29="","",COUNTIFS(Library!$A$2:$A$401,$A29))</f>
        <v/>
      </c>
      <c r="E29" s="17">
        <f>IF($A29="","",COUNTIFS(Library!$A$2:$A$401,$A29,Library!$L$2:$L$401,"Yes"))</f>
        <v/>
      </c>
      <c r="F29" s="17">
        <f>IF($A29="","",COUNTIFS(Library!$A$2:$A$401,$A29,Library!$G$2:$G$401,"Clinical trial")+COUNTIFS(Library!$A$2:$A$401,$A29,Library!$G$2:$G$401,"Extension study"))</f>
        <v/>
      </c>
      <c r="G29" s="17">
        <f>IF($A29="","",COUNTIFS(Library!$A$2:$A$401,$A29,Library!$G$2:$G$401,"Registry / Real-world study")+COUNTIFS(Library!$A$2:$A$401,$A29,Library!$G$2:$G$401,"Natural history study"))</f>
        <v/>
      </c>
      <c r="H29" s="17">
        <f>IF($A29="","",COUNTIFS(Library!$A$2:$A$401,$A29,Library!$G$2:$G$401,"Guideline / Consensus")+COUNTIFS(Library!$A$2:$A$401,$A29,Library!$G$2:$G$401,"Expert recommendation"))</f>
        <v/>
      </c>
      <c r="I29" s="17">
        <f>IF($A29="","",COUNTIFS(Library!$A$2:$A$401,$A29,Library!$AE$2:$AE$401,"Internal use only")+COUNTIFS(Library!$A$2:$A$401,$A29,Library!$AE$2:$AE$401,"Confidential"))</f>
        <v/>
      </c>
      <c r="J29" s="18">
        <f>IF($A29="","",IF(COUNTIFS(Library!$A$2:$A$401,$A29,Library!$Z$2:$Z$401,"&gt;0")=0,"",_xlfn.MINIFS(Library!$Z$2:$Z$401,Library!$A$2:$A$401,$A29)))</f>
        <v/>
      </c>
      <c r="K29" s="18">
        <f>IF($A29="","",IF(COUNTIFS(Library!$A$2:$A$401,$A29,Library!$Z$2:$Z$401,"&gt;0")=0,"",_xlfn.MAXIFS(Library!$Z$2:$Z$401,Library!$A$2:$A$401,$A29)))</f>
        <v/>
      </c>
    </row>
    <row r="30">
      <c r="A30" s="17">
        <f>IF(Products!$A$27="","",Products!$A$27)</f>
        <v/>
      </c>
      <c r="B30" s="17">
        <f>IF($A30="","",Products!$C$27)</f>
        <v/>
      </c>
      <c r="C30" s="17">
        <f>IF($A30="","",Products!$F$27)</f>
        <v/>
      </c>
      <c r="D30" s="17">
        <f>IF($A30="","",COUNTIFS(Library!$A$2:$A$401,$A30))</f>
        <v/>
      </c>
      <c r="E30" s="17">
        <f>IF($A30="","",COUNTIFS(Library!$A$2:$A$401,$A30,Library!$L$2:$L$401,"Yes"))</f>
        <v/>
      </c>
      <c r="F30" s="17">
        <f>IF($A30="","",COUNTIFS(Library!$A$2:$A$401,$A30,Library!$G$2:$G$401,"Clinical trial")+COUNTIFS(Library!$A$2:$A$401,$A30,Library!$G$2:$G$401,"Extension study"))</f>
        <v/>
      </c>
      <c r="G30" s="17">
        <f>IF($A30="","",COUNTIFS(Library!$A$2:$A$401,$A30,Library!$G$2:$G$401,"Registry / Real-world study")+COUNTIFS(Library!$A$2:$A$401,$A30,Library!$G$2:$G$401,"Natural history study"))</f>
        <v/>
      </c>
      <c r="H30" s="17">
        <f>IF($A30="","",COUNTIFS(Library!$A$2:$A$401,$A30,Library!$G$2:$G$401,"Guideline / Consensus")+COUNTIFS(Library!$A$2:$A$401,$A30,Library!$G$2:$G$401,"Expert recommendation"))</f>
        <v/>
      </c>
      <c r="I30" s="17">
        <f>IF($A30="","",COUNTIFS(Library!$A$2:$A$401,$A30,Library!$AE$2:$AE$401,"Internal use only")+COUNTIFS(Library!$A$2:$A$401,$A30,Library!$AE$2:$AE$401,"Confidential"))</f>
        <v/>
      </c>
      <c r="J30" s="18">
        <f>IF($A30="","",IF(COUNTIFS(Library!$A$2:$A$401,$A30,Library!$Z$2:$Z$401,"&gt;0")=0,"",_xlfn.MINIFS(Library!$Z$2:$Z$401,Library!$A$2:$A$401,$A30)))</f>
        <v/>
      </c>
      <c r="K30" s="18">
        <f>IF($A30="","",IF(COUNTIFS(Library!$A$2:$A$401,$A30,Library!$Z$2:$Z$401,"&gt;0")=0,"",_xlfn.MAXIFS(Library!$Z$2:$Z$401,Library!$A$2:$A$401,$A30)))</f>
        <v/>
      </c>
    </row>
    <row r="31">
      <c r="A31" s="17">
        <f>IF(Products!$A$28="","",Products!$A$28)</f>
        <v/>
      </c>
      <c r="B31" s="17">
        <f>IF($A31="","",Products!$C$28)</f>
        <v/>
      </c>
      <c r="C31" s="17">
        <f>IF($A31="","",Products!$F$28)</f>
        <v/>
      </c>
      <c r="D31" s="17">
        <f>IF($A31="","",COUNTIFS(Library!$A$2:$A$401,$A31))</f>
        <v/>
      </c>
      <c r="E31" s="17">
        <f>IF($A31="","",COUNTIFS(Library!$A$2:$A$401,$A31,Library!$L$2:$L$401,"Yes"))</f>
        <v/>
      </c>
      <c r="F31" s="17">
        <f>IF($A31="","",COUNTIFS(Library!$A$2:$A$401,$A31,Library!$G$2:$G$401,"Clinical trial")+COUNTIFS(Library!$A$2:$A$401,$A31,Library!$G$2:$G$401,"Extension study"))</f>
        <v/>
      </c>
      <c r="G31" s="17">
        <f>IF($A31="","",COUNTIFS(Library!$A$2:$A$401,$A31,Library!$G$2:$G$401,"Registry / Real-world study")+COUNTIFS(Library!$A$2:$A$401,$A31,Library!$G$2:$G$401,"Natural history study"))</f>
        <v/>
      </c>
      <c r="H31" s="17">
        <f>IF($A31="","",COUNTIFS(Library!$A$2:$A$401,$A31,Library!$G$2:$G$401,"Guideline / Consensus")+COUNTIFS(Library!$A$2:$A$401,$A31,Library!$G$2:$G$401,"Expert recommendation"))</f>
        <v/>
      </c>
      <c r="I31" s="17">
        <f>IF($A31="","",COUNTIFS(Library!$A$2:$A$401,$A31,Library!$AE$2:$AE$401,"Internal use only")+COUNTIFS(Library!$A$2:$A$401,$A31,Library!$AE$2:$AE$401,"Confidential"))</f>
        <v/>
      </c>
      <c r="J31" s="18">
        <f>IF($A31="","",IF(COUNTIFS(Library!$A$2:$A$401,$A31,Library!$Z$2:$Z$401,"&gt;0")=0,"",_xlfn.MINIFS(Library!$Z$2:$Z$401,Library!$A$2:$A$401,$A31)))</f>
        <v/>
      </c>
      <c r="K31" s="18">
        <f>IF($A31="","",IF(COUNTIFS(Library!$A$2:$A$401,$A31,Library!$Z$2:$Z$401,"&gt;0")=0,"",_xlfn.MAXIFS(Library!$Z$2:$Z$401,Library!$A$2:$A$401,$A31)))</f>
        <v/>
      </c>
    </row>
    <row r="32">
      <c r="A32" s="17">
        <f>IF(Products!$A$29="","",Products!$A$29)</f>
        <v/>
      </c>
      <c r="B32" s="17">
        <f>IF($A32="","",Products!$C$29)</f>
        <v/>
      </c>
      <c r="C32" s="17">
        <f>IF($A32="","",Products!$F$29)</f>
        <v/>
      </c>
      <c r="D32" s="17">
        <f>IF($A32="","",COUNTIFS(Library!$A$2:$A$401,$A32))</f>
        <v/>
      </c>
      <c r="E32" s="17">
        <f>IF($A32="","",COUNTIFS(Library!$A$2:$A$401,$A32,Library!$L$2:$L$401,"Yes"))</f>
        <v/>
      </c>
      <c r="F32" s="17">
        <f>IF($A32="","",COUNTIFS(Library!$A$2:$A$401,$A32,Library!$G$2:$G$401,"Clinical trial")+COUNTIFS(Library!$A$2:$A$401,$A32,Library!$G$2:$G$401,"Extension study"))</f>
        <v/>
      </c>
      <c r="G32" s="17">
        <f>IF($A32="","",COUNTIFS(Library!$A$2:$A$401,$A32,Library!$G$2:$G$401,"Registry / Real-world study")+COUNTIFS(Library!$A$2:$A$401,$A32,Library!$G$2:$G$401,"Natural history study"))</f>
        <v/>
      </c>
      <c r="H32" s="17">
        <f>IF($A32="","",COUNTIFS(Library!$A$2:$A$401,$A32,Library!$G$2:$G$401,"Guideline / Consensus")+COUNTIFS(Library!$A$2:$A$401,$A32,Library!$G$2:$G$401,"Expert recommendation"))</f>
        <v/>
      </c>
      <c r="I32" s="17">
        <f>IF($A32="","",COUNTIFS(Library!$A$2:$A$401,$A32,Library!$AE$2:$AE$401,"Internal use only")+COUNTIFS(Library!$A$2:$A$401,$A32,Library!$AE$2:$AE$401,"Confidential"))</f>
        <v/>
      </c>
      <c r="J32" s="18">
        <f>IF($A32="","",IF(COUNTIFS(Library!$A$2:$A$401,$A32,Library!$Z$2:$Z$401,"&gt;0")=0,"",_xlfn.MINIFS(Library!$Z$2:$Z$401,Library!$A$2:$A$401,$A32)))</f>
        <v/>
      </c>
      <c r="K32" s="18">
        <f>IF($A32="","",IF(COUNTIFS(Library!$A$2:$A$401,$A32,Library!$Z$2:$Z$401,"&gt;0")=0,"",_xlfn.MAXIFS(Library!$Z$2:$Z$401,Library!$A$2:$A$401,$A32)))</f>
        <v/>
      </c>
    </row>
    <row r="33">
      <c r="A33" s="17">
        <f>IF(Products!$A$30="","",Products!$A$30)</f>
        <v/>
      </c>
      <c r="B33" s="17">
        <f>IF($A33="","",Products!$C$30)</f>
        <v/>
      </c>
      <c r="C33" s="17">
        <f>IF($A33="","",Products!$F$30)</f>
        <v/>
      </c>
      <c r="D33" s="17">
        <f>IF($A33="","",COUNTIFS(Library!$A$2:$A$401,$A33))</f>
        <v/>
      </c>
      <c r="E33" s="17">
        <f>IF($A33="","",COUNTIFS(Library!$A$2:$A$401,$A33,Library!$L$2:$L$401,"Yes"))</f>
        <v/>
      </c>
      <c r="F33" s="17">
        <f>IF($A33="","",COUNTIFS(Library!$A$2:$A$401,$A33,Library!$G$2:$G$401,"Clinical trial")+COUNTIFS(Library!$A$2:$A$401,$A33,Library!$G$2:$G$401,"Extension study"))</f>
        <v/>
      </c>
      <c r="G33" s="17">
        <f>IF($A33="","",COUNTIFS(Library!$A$2:$A$401,$A33,Library!$G$2:$G$401,"Registry / Real-world study")+COUNTIFS(Library!$A$2:$A$401,$A33,Library!$G$2:$G$401,"Natural history study"))</f>
        <v/>
      </c>
      <c r="H33" s="17">
        <f>IF($A33="","",COUNTIFS(Library!$A$2:$A$401,$A33,Library!$G$2:$G$401,"Guideline / Consensus")+COUNTIFS(Library!$A$2:$A$401,$A33,Library!$G$2:$G$401,"Expert recommendation"))</f>
        <v/>
      </c>
      <c r="I33" s="17">
        <f>IF($A33="","",COUNTIFS(Library!$A$2:$A$401,$A33,Library!$AE$2:$AE$401,"Internal use only")+COUNTIFS(Library!$A$2:$A$401,$A33,Library!$AE$2:$AE$401,"Confidential"))</f>
        <v/>
      </c>
      <c r="J33" s="18">
        <f>IF($A33="","",IF(COUNTIFS(Library!$A$2:$A$401,$A33,Library!$Z$2:$Z$401,"&gt;0")=0,"",_xlfn.MINIFS(Library!$Z$2:$Z$401,Library!$A$2:$A$401,$A33)))</f>
        <v/>
      </c>
      <c r="K33" s="18">
        <f>IF($A33="","",IF(COUNTIFS(Library!$A$2:$A$401,$A33,Library!$Z$2:$Z$401,"&gt;0")=0,"",_xlfn.MAXIFS(Library!$Z$2:$Z$401,Library!$A$2:$A$401,$A33)))</f>
        <v/>
      </c>
    </row>
    <row r="34">
      <c r="A34" s="17">
        <f>IF(Products!$A$31="","",Products!$A$31)</f>
        <v/>
      </c>
      <c r="B34" s="17">
        <f>IF($A34="","",Products!$C$31)</f>
        <v/>
      </c>
      <c r="C34" s="17">
        <f>IF($A34="","",Products!$F$31)</f>
        <v/>
      </c>
      <c r="D34" s="17">
        <f>IF($A34="","",COUNTIFS(Library!$A$2:$A$401,$A34))</f>
        <v/>
      </c>
      <c r="E34" s="17">
        <f>IF($A34="","",COUNTIFS(Library!$A$2:$A$401,$A34,Library!$L$2:$L$401,"Yes"))</f>
        <v/>
      </c>
      <c r="F34" s="17">
        <f>IF($A34="","",COUNTIFS(Library!$A$2:$A$401,$A34,Library!$G$2:$G$401,"Clinical trial")+COUNTIFS(Library!$A$2:$A$401,$A34,Library!$G$2:$G$401,"Extension study"))</f>
        <v/>
      </c>
      <c r="G34" s="17">
        <f>IF($A34="","",COUNTIFS(Library!$A$2:$A$401,$A34,Library!$G$2:$G$401,"Registry / Real-world study")+COUNTIFS(Library!$A$2:$A$401,$A34,Library!$G$2:$G$401,"Natural history study"))</f>
        <v/>
      </c>
      <c r="H34" s="17">
        <f>IF($A34="","",COUNTIFS(Library!$A$2:$A$401,$A34,Library!$G$2:$G$401,"Guideline / Consensus")+COUNTIFS(Library!$A$2:$A$401,$A34,Library!$G$2:$G$401,"Expert recommendation"))</f>
        <v/>
      </c>
      <c r="I34" s="17">
        <f>IF($A34="","",COUNTIFS(Library!$A$2:$A$401,$A34,Library!$AE$2:$AE$401,"Internal use only")+COUNTIFS(Library!$A$2:$A$401,$A34,Library!$AE$2:$AE$401,"Confidential"))</f>
        <v/>
      </c>
      <c r="J34" s="18">
        <f>IF($A34="","",IF(COUNTIFS(Library!$A$2:$A$401,$A34,Library!$Z$2:$Z$401,"&gt;0")=0,"",_xlfn.MINIFS(Library!$Z$2:$Z$401,Library!$A$2:$A$401,$A34)))</f>
        <v/>
      </c>
      <c r="K34" s="18">
        <f>IF($A34="","",IF(COUNTIFS(Library!$A$2:$A$401,$A34,Library!$Z$2:$Z$401,"&gt;0")=0,"",_xlfn.MAXIFS(Library!$Z$2:$Z$401,Library!$A$2:$A$401,$A34)))</f>
        <v/>
      </c>
    </row>
    <row r="35">
      <c r="A35" s="17">
        <f>IF(Products!$A$32="","",Products!$A$32)</f>
        <v/>
      </c>
      <c r="B35" s="17">
        <f>IF($A35="","",Products!$C$32)</f>
        <v/>
      </c>
      <c r="C35" s="17">
        <f>IF($A35="","",Products!$F$32)</f>
        <v/>
      </c>
      <c r="D35" s="17">
        <f>IF($A35="","",COUNTIFS(Library!$A$2:$A$401,$A35))</f>
        <v/>
      </c>
      <c r="E35" s="17">
        <f>IF($A35="","",COUNTIFS(Library!$A$2:$A$401,$A35,Library!$L$2:$L$401,"Yes"))</f>
        <v/>
      </c>
      <c r="F35" s="17">
        <f>IF($A35="","",COUNTIFS(Library!$A$2:$A$401,$A35,Library!$G$2:$G$401,"Clinical trial")+COUNTIFS(Library!$A$2:$A$401,$A35,Library!$G$2:$G$401,"Extension study"))</f>
        <v/>
      </c>
      <c r="G35" s="17">
        <f>IF($A35="","",COUNTIFS(Library!$A$2:$A$401,$A35,Library!$G$2:$G$401,"Registry / Real-world study")+COUNTIFS(Library!$A$2:$A$401,$A35,Library!$G$2:$G$401,"Natural history study"))</f>
        <v/>
      </c>
      <c r="H35" s="17">
        <f>IF($A35="","",COUNTIFS(Library!$A$2:$A$401,$A35,Library!$G$2:$G$401,"Guideline / Consensus")+COUNTIFS(Library!$A$2:$A$401,$A35,Library!$G$2:$G$401,"Expert recommendation"))</f>
        <v/>
      </c>
      <c r="I35" s="17">
        <f>IF($A35="","",COUNTIFS(Library!$A$2:$A$401,$A35,Library!$AE$2:$AE$401,"Internal use only")+COUNTIFS(Library!$A$2:$A$401,$A35,Library!$AE$2:$AE$401,"Confidential"))</f>
        <v/>
      </c>
      <c r="J35" s="18">
        <f>IF($A35="","",IF(COUNTIFS(Library!$A$2:$A$401,$A35,Library!$Z$2:$Z$401,"&gt;0")=0,"",_xlfn.MINIFS(Library!$Z$2:$Z$401,Library!$A$2:$A$401,$A35)))</f>
        <v/>
      </c>
      <c r="K35" s="18">
        <f>IF($A35="","",IF(COUNTIFS(Library!$A$2:$A$401,$A35,Library!$Z$2:$Z$401,"&gt;0")=0,"",_xlfn.MAXIFS(Library!$Z$2:$Z$401,Library!$A$2:$A$401,$A35)))</f>
        <v/>
      </c>
    </row>
    <row r="36">
      <c r="A36" s="17">
        <f>IF(Products!$A$33="","",Products!$A$33)</f>
        <v/>
      </c>
      <c r="B36" s="17">
        <f>IF($A36="","",Products!$C$33)</f>
        <v/>
      </c>
      <c r="C36" s="17">
        <f>IF($A36="","",Products!$F$33)</f>
        <v/>
      </c>
      <c r="D36" s="17">
        <f>IF($A36="","",COUNTIFS(Library!$A$2:$A$401,$A36))</f>
        <v/>
      </c>
      <c r="E36" s="17">
        <f>IF($A36="","",COUNTIFS(Library!$A$2:$A$401,$A36,Library!$L$2:$L$401,"Yes"))</f>
        <v/>
      </c>
      <c r="F36" s="17">
        <f>IF($A36="","",COUNTIFS(Library!$A$2:$A$401,$A36,Library!$G$2:$G$401,"Clinical trial")+COUNTIFS(Library!$A$2:$A$401,$A36,Library!$G$2:$G$401,"Extension study"))</f>
        <v/>
      </c>
      <c r="G36" s="17">
        <f>IF($A36="","",COUNTIFS(Library!$A$2:$A$401,$A36,Library!$G$2:$G$401,"Registry / Real-world study")+COUNTIFS(Library!$A$2:$A$401,$A36,Library!$G$2:$G$401,"Natural history study"))</f>
        <v/>
      </c>
      <c r="H36" s="17">
        <f>IF($A36="","",COUNTIFS(Library!$A$2:$A$401,$A36,Library!$G$2:$G$401,"Guideline / Consensus")+COUNTIFS(Library!$A$2:$A$401,$A36,Library!$G$2:$G$401,"Expert recommendation"))</f>
        <v/>
      </c>
      <c r="I36" s="17">
        <f>IF($A36="","",COUNTIFS(Library!$A$2:$A$401,$A36,Library!$AE$2:$AE$401,"Internal use only")+COUNTIFS(Library!$A$2:$A$401,$A36,Library!$AE$2:$AE$401,"Confidential"))</f>
        <v/>
      </c>
      <c r="J36" s="18">
        <f>IF($A36="","",IF(COUNTIFS(Library!$A$2:$A$401,$A36,Library!$Z$2:$Z$401,"&gt;0")=0,"",_xlfn.MINIFS(Library!$Z$2:$Z$401,Library!$A$2:$A$401,$A36)))</f>
        <v/>
      </c>
      <c r="K36" s="18">
        <f>IF($A36="","",IF(COUNTIFS(Library!$A$2:$A$401,$A36,Library!$Z$2:$Z$401,"&gt;0")=0,"",_xlfn.MAXIFS(Library!$Z$2:$Z$401,Library!$A$2:$A$401,$A36)))</f>
        <v/>
      </c>
    </row>
    <row r="37">
      <c r="A37" s="17">
        <f>IF(Products!$A$34="","",Products!$A$34)</f>
        <v/>
      </c>
      <c r="B37" s="17">
        <f>IF($A37="","",Products!$C$34)</f>
        <v/>
      </c>
      <c r="C37" s="17">
        <f>IF($A37="","",Products!$F$34)</f>
        <v/>
      </c>
      <c r="D37" s="17">
        <f>IF($A37="","",COUNTIFS(Library!$A$2:$A$401,$A37))</f>
        <v/>
      </c>
      <c r="E37" s="17">
        <f>IF($A37="","",COUNTIFS(Library!$A$2:$A$401,$A37,Library!$L$2:$L$401,"Yes"))</f>
        <v/>
      </c>
      <c r="F37" s="17">
        <f>IF($A37="","",COUNTIFS(Library!$A$2:$A$401,$A37,Library!$G$2:$G$401,"Clinical trial")+COUNTIFS(Library!$A$2:$A$401,$A37,Library!$G$2:$G$401,"Extension study"))</f>
        <v/>
      </c>
      <c r="G37" s="17">
        <f>IF($A37="","",COUNTIFS(Library!$A$2:$A$401,$A37,Library!$G$2:$G$401,"Registry / Real-world study")+COUNTIFS(Library!$A$2:$A$401,$A37,Library!$G$2:$G$401,"Natural history study"))</f>
        <v/>
      </c>
      <c r="H37" s="17">
        <f>IF($A37="","",COUNTIFS(Library!$A$2:$A$401,$A37,Library!$G$2:$G$401,"Guideline / Consensus")+COUNTIFS(Library!$A$2:$A$401,$A37,Library!$G$2:$G$401,"Expert recommendation"))</f>
        <v/>
      </c>
      <c r="I37" s="17">
        <f>IF($A37="","",COUNTIFS(Library!$A$2:$A$401,$A37,Library!$AE$2:$AE$401,"Internal use only")+COUNTIFS(Library!$A$2:$A$401,$A37,Library!$AE$2:$AE$401,"Confidential"))</f>
        <v/>
      </c>
      <c r="J37" s="18">
        <f>IF($A37="","",IF(COUNTIFS(Library!$A$2:$A$401,$A37,Library!$Z$2:$Z$401,"&gt;0")=0,"",_xlfn.MINIFS(Library!$Z$2:$Z$401,Library!$A$2:$A$401,$A37)))</f>
        <v/>
      </c>
      <c r="K37" s="18">
        <f>IF($A37="","",IF(COUNTIFS(Library!$A$2:$A$401,$A37,Library!$Z$2:$Z$401,"&gt;0")=0,"",_xlfn.MAXIFS(Library!$Z$2:$Z$401,Library!$A$2:$A$401,$A37)))</f>
        <v/>
      </c>
    </row>
    <row r="38">
      <c r="A38" s="17">
        <f>IF(Products!$A$35="","",Products!$A$35)</f>
        <v/>
      </c>
      <c r="B38" s="17">
        <f>IF($A38="","",Products!$C$35)</f>
        <v/>
      </c>
      <c r="C38" s="17">
        <f>IF($A38="","",Products!$F$35)</f>
        <v/>
      </c>
      <c r="D38" s="17">
        <f>IF($A38="","",COUNTIFS(Library!$A$2:$A$401,$A38))</f>
        <v/>
      </c>
      <c r="E38" s="17">
        <f>IF($A38="","",COUNTIFS(Library!$A$2:$A$401,$A38,Library!$L$2:$L$401,"Yes"))</f>
        <v/>
      </c>
      <c r="F38" s="17">
        <f>IF($A38="","",COUNTIFS(Library!$A$2:$A$401,$A38,Library!$G$2:$G$401,"Clinical trial")+COUNTIFS(Library!$A$2:$A$401,$A38,Library!$G$2:$G$401,"Extension study"))</f>
        <v/>
      </c>
      <c r="G38" s="17">
        <f>IF($A38="","",COUNTIFS(Library!$A$2:$A$401,$A38,Library!$G$2:$G$401,"Registry / Real-world study")+COUNTIFS(Library!$A$2:$A$401,$A38,Library!$G$2:$G$401,"Natural history study"))</f>
        <v/>
      </c>
      <c r="H38" s="17">
        <f>IF($A38="","",COUNTIFS(Library!$A$2:$A$401,$A38,Library!$G$2:$G$401,"Guideline / Consensus")+COUNTIFS(Library!$A$2:$A$401,$A38,Library!$G$2:$G$401,"Expert recommendation"))</f>
        <v/>
      </c>
      <c r="I38" s="17">
        <f>IF($A38="","",COUNTIFS(Library!$A$2:$A$401,$A38,Library!$AE$2:$AE$401,"Internal use only")+COUNTIFS(Library!$A$2:$A$401,$A38,Library!$AE$2:$AE$401,"Confidential"))</f>
        <v/>
      </c>
      <c r="J38" s="18">
        <f>IF($A38="","",IF(COUNTIFS(Library!$A$2:$A$401,$A38,Library!$Z$2:$Z$401,"&gt;0")=0,"",_xlfn.MINIFS(Library!$Z$2:$Z$401,Library!$A$2:$A$401,$A38)))</f>
        <v/>
      </c>
      <c r="K38" s="18">
        <f>IF($A38="","",IF(COUNTIFS(Library!$A$2:$A$401,$A38,Library!$Z$2:$Z$401,"&gt;0")=0,"",_xlfn.MAXIFS(Library!$Z$2:$Z$401,Library!$A$2:$A$401,$A38)))</f>
        <v/>
      </c>
    </row>
    <row r="39">
      <c r="A39" s="17">
        <f>IF(Products!$A$36="","",Products!$A$36)</f>
        <v/>
      </c>
      <c r="B39" s="17">
        <f>IF($A39="","",Products!$C$36)</f>
        <v/>
      </c>
      <c r="C39" s="17">
        <f>IF($A39="","",Products!$F$36)</f>
        <v/>
      </c>
      <c r="D39" s="17">
        <f>IF($A39="","",COUNTIFS(Library!$A$2:$A$401,$A39))</f>
        <v/>
      </c>
      <c r="E39" s="17">
        <f>IF($A39="","",COUNTIFS(Library!$A$2:$A$401,$A39,Library!$L$2:$L$401,"Yes"))</f>
        <v/>
      </c>
      <c r="F39" s="17">
        <f>IF($A39="","",COUNTIFS(Library!$A$2:$A$401,$A39,Library!$G$2:$G$401,"Clinical trial")+COUNTIFS(Library!$A$2:$A$401,$A39,Library!$G$2:$G$401,"Extension study"))</f>
        <v/>
      </c>
      <c r="G39" s="17">
        <f>IF($A39="","",COUNTIFS(Library!$A$2:$A$401,$A39,Library!$G$2:$G$401,"Registry / Real-world study")+COUNTIFS(Library!$A$2:$A$401,$A39,Library!$G$2:$G$401,"Natural history study"))</f>
        <v/>
      </c>
      <c r="H39" s="17">
        <f>IF($A39="","",COUNTIFS(Library!$A$2:$A$401,$A39,Library!$G$2:$G$401,"Guideline / Consensus")+COUNTIFS(Library!$A$2:$A$401,$A39,Library!$G$2:$G$401,"Expert recommendation"))</f>
        <v/>
      </c>
      <c r="I39" s="17">
        <f>IF($A39="","",COUNTIFS(Library!$A$2:$A$401,$A39,Library!$AE$2:$AE$401,"Internal use only")+COUNTIFS(Library!$A$2:$A$401,$A39,Library!$AE$2:$AE$401,"Confidential"))</f>
        <v/>
      </c>
      <c r="J39" s="18">
        <f>IF($A39="","",IF(COUNTIFS(Library!$A$2:$A$401,$A39,Library!$Z$2:$Z$401,"&gt;0")=0,"",_xlfn.MINIFS(Library!$Z$2:$Z$401,Library!$A$2:$A$401,$A39)))</f>
        <v/>
      </c>
      <c r="K39" s="18">
        <f>IF($A39="","",IF(COUNTIFS(Library!$A$2:$A$401,$A39,Library!$Z$2:$Z$401,"&gt;0")=0,"",_xlfn.MAXIFS(Library!$Z$2:$Z$401,Library!$A$2:$A$401,$A39)))</f>
        <v/>
      </c>
    </row>
    <row r="40">
      <c r="A40" s="17">
        <f>IF(Products!$A$37="","",Products!$A$37)</f>
        <v/>
      </c>
      <c r="B40" s="17">
        <f>IF($A40="","",Products!$C$37)</f>
        <v/>
      </c>
      <c r="C40" s="17">
        <f>IF($A40="","",Products!$F$37)</f>
        <v/>
      </c>
      <c r="D40" s="17">
        <f>IF($A40="","",COUNTIFS(Library!$A$2:$A$401,$A40))</f>
        <v/>
      </c>
      <c r="E40" s="17">
        <f>IF($A40="","",COUNTIFS(Library!$A$2:$A$401,$A40,Library!$L$2:$L$401,"Yes"))</f>
        <v/>
      </c>
      <c r="F40" s="17">
        <f>IF($A40="","",COUNTIFS(Library!$A$2:$A$401,$A40,Library!$G$2:$G$401,"Clinical trial")+COUNTIFS(Library!$A$2:$A$401,$A40,Library!$G$2:$G$401,"Extension study"))</f>
        <v/>
      </c>
      <c r="G40" s="17">
        <f>IF($A40="","",COUNTIFS(Library!$A$2:$A$401,$A40,Library!$G$2:$G$401,"Registry / Real-world study")+COUNTIFS(Library!$A$2:$A$401,$A40,Library!$G$2:$G$401,"Natural history study"))</f>
        <v/>
      </c>
      <c r="H40" s="17">
        <f>IF($A40="","",COUNTIFS(Library!$A$2:$A$401,$A40,Library!$G$2:$G$401,"Guideline / Consensus")+COUNTIFS(Library!$A$2:$A$401,$A40,Library!$G$2:$G$401,"Expert recommendation"))</f>
        <v/>
      </c>
      <c r="I40" s="17">
        <f>IF($A40="","",COUNTIFS(Library!$A$2:$A$401,$A40,Library!$AE$2:$AE$401,"Internal use only")+COUNTIFS(Library!$A$2:$A$401,$A40,Library!$AE$2:$AE$401,"Confidential"))</f>
        <v/>
      </c>
      <c r="J40" s="18">
        <f>IF($A40="","",IF(COUNTIFS(Library!$A$2:$A$401,$A40,Library!$Z$2:$Z$401,"&gt;0")=0,"",_xlfn.MINIFS(Library!$Z$2:$Z$401,Library!$A$2:$A$401,$A40)))</f>
        <v/>
      </c>
      <c r="K40" s="18">
        <f>IF($A40="","",IF(COUNTIFS(Library!$A$2:$A$401,$A40,Library!$Z$2:$Z$401,"&gt;0")=0,"",_xlfn.MAXIFS(Library!$Z$2:$Z$401,Library!$A$2:$A$401,$A40)))</f>
        <v/>
      </c>
    </row>
    <row r="41">
      <c r="A41" s="17">
        <f>IF(Products!$A$38="","",Products!$A$38)</f>
        <v/>
      </c>
      <c r="B41" s="17">
        <f>IF($A41="","",Products!$C$38)</f>
        <v/>
      </c>
      <c r="C41" s="17">
        <f>IF($A41="","",Products!$F$38)</f>
        <v/>
      </c>
      <c r="D41" s="17">
        <f>IF($A41="","",COUNTIFS(Library!$A$2:$A$401,$A41))</f>
        <v/>
      </c>
      <c r="E41" s="17">
        <f>IF($A41="","",COUNTIFS(Library!$A$2:$A$401,$A41,Library!$L$2:$L$401,"Yes"))</f>
        <v/>
      </c>
      <c r="F41" s="17">
        <f>IF($A41="","",COUNTIFS(Library!$A$2:$A$401,$A41,Library!$G$2:$G$401,"Clinical trial")+COUNTIFS(Library!$A$2:$A$401,$A41,Library!$G$2:$G$401,"Extension study"))</f>
        <v/>
      </c>
      <c r="G41" s="17">
        <f>IF($A41="","",COUNTIFS(Library!$A$2:$A$401,$A41,Library!$G$2:$G$401,"Registry / Real-world study")+COUNTIFS(Library!$A$2:$A$401,$A41,Library!$G$2:$G$401,"Natural history study"))</f>
        <v/>
      </c>
      <c r="H41" s="17">
        <f>IF($A41="","",COUNTIFS(Library!$A$2:$A$401,$A41,Library!$G$2:$G$401,"Guideline / Consensus")+COUNTIFS(Library!$A$2:$A$401,$A41,Library!$G$2:$G$401,"Expert recommendation"))</f>
        <v/>
      </c>
      <c r="I41" s="17">
        <f>IF($A41="","",COUNTIFS(Library!$A$2:$A$401,$A41,Library!$AE$2:$AE$401,"Internal use only")+COUNTIFS(Library!$A$2:$A$401,$A41,Library!$AE$2:$AE$401,"Confidential"))</f>
        <v/>
      </c>
      <c r="J41" s="18">
        <f>IF($A41="","",IF(COUNTIFS(Library!$A$2:$A$401,$A41,Library!$Z$2:$Z$401,"&gt;0")=0,"",_xlfn.MINIFS(Library!$Z$2:$Z$401,Library!$A$2:$A$401,$A41)))</f>
        <v/>
      </c>
      <c r="K41" s="18">
        <f>IF($A41="","",IF(COUNTIFS(Library!$A$2:$A$401,$A41,Library!$Z$2:$Z$401,"&gt;0")=0,"",_xlfn.MAXIFS(Library!$Z$2:$Z$401,Library!$A$2:$A$401,$A41)))</f>
        <v/>
      </c>
    </row>
    <row r="42">
      <c r="A42" s="17">
        <f>IF(Products!$A$39="","",Products!$A$39)</f>
        <v/>
      </c>
      <c r="B42" s="17">
        <f>IF($A42="","",Products!$C$39)</f>
        <v/>
      </c>
      <c r="C42" s="17">
        <f>IF($A42="","",Products!$F$39)</f>
        <v/>
      </c>
      <c r="D42" s="17">
        <f>IF($A42="","",COUNTIFS(Library!$A$2:$A$401,$A42))</f>
        <v/>
      </c>
      <c r="E42" s="17">
        <f>IF($A42="","",COUNTIFS(Library!$A$2:$A$401,$A42,Library!$L$2:$L$401,"Yes"))</f>
        <v/>
      </c>
      <c r="F42" s="17">
        <f>IF($A42="","",COUNTIFS(Library!$A$2:$A$401,$A42,Library!$G$2:$G$401,"Clinical trial")+COUNTIFS(Library!$A$2:$A$401,$A42,Library!$G$2:$G$401,"Extension study"))</f>
        <v/>
      </c>
      <c r="G42" s="17">
        <f>IF($A42="","",COUNTIFS(Library!$A$2:$A$401,$A42,Library!$G$2:$G$401,"Registry / Real-world study")+COUNTIFS(Library!$A$2:$A$401,$A42,Library!$G$2:$G$401,"Natural history study"))</f>
        <v/>
      </c>
      <c r="H42" s="17">
        <f>IF($A42="","",COUNTIFS(Library!$A$2:$A$401,$A42,Library!$G$2:$G$401,"Guideline / Consensus")+COUNTIFS(Library!$A$2:$A$401,$A42,Library!$G$2:$G$401,"Expert recommendation"))</f>
        <v/>
      </c>
      <c r="I42" s="17">
        <f>IF($A42="","",COUNTIFS(Library!$A$2:$A$401,$A42,Library!$AE$2:$AE$401,"Internal use only")+COUNTIFS(Library!$A$2:$A$401,$A42,Library!$AE$2:$AE$401,"Confidential"))</f>
        <v/>
      </c>
      <c r="J42" s="18">
        <f>IF($A42="","",IF(COUNTIFS(Library!$A$2:$A$401,$A42,Library!$Z$2:$Z$401,"&gt;0")=0,"",_xlfn.MINIFS(Library!$Z$2:$Z$401,Library!$A$2:$A$401,$A42)))</f>
        <v/>
      </c>
      <c r="K42" s="18">
        <f>IF($A42="","",IF(COUNTIFS(Library!$A$2:$A$401,$A42,Library!$Z$2:$Z$401,"&gt;0")=0,"",_xlfn.MAXIFS(Library!$Z$2:$Z$401,Library!$A$2:$A$401,$A42)))</f>
        <v/>
      </c>
    </row>
    <row r="43">
      <c r="A43" s="17">
        <f>IF(Products!$A$40="","",Products!$A$40)</f>
        <v/>
      </c>
      <c r="B43" s="17">
        <f>IF($A43="","",Products!$C$40)</f>
        <v/>
      </c>
      <c r="C43" s="17">
        <f>IF($A43="","",Products!$F$40)</f>
        <v/>
      </c>
      <c r="D43" s="17">
        <f>IF($A43="","",COUNTIFS(Library!$A$2:$A$401,$A43))</f>
        <v/>
      </c>
      <c r="E43" s="17">
        <f>IF($A43="","",COUNTIFS(Library!$A$2:$A$401,$A43,Library!$L$2:$L$401,"Yes"))</f>
        <v/>
      </c>
      <c r="F43" s="17">
        <f>IF($A43="","",COUNTIFS(Library!$A$2:$A$401,$A43,Library!$G$2:$G$401,"Clinical trial")+COUNTIFS(Library!$A$2:$A$401,$A43,Library!$G$2:$G$401,"Extension study"))</f>
        <v/>
      </c>
      <c r="G43" s="17">
        <f>IF($A43="","",COUNTIFS(Library!$A$2:$A$401,$A43,Library!$G$2:$G$401,"Registry / Real-world study")+COUNTIFS(Library!$A$2:$A$401,$A43,Library!$G$2:$G$401,"Natural history study"))</f>
        <v/>
      </c>
      <c r="H43" s="17">
        <f>IF($A43="","",COUNTIFS(Library!$A$2:$A$401,$A43,Library!$G$2:$G$401,"Guideline / Consensus")+COUNTIFS(Library!$A$2:$A$401,$A43,Library!$G$2:$G$401,"Expert recommendation"))</f>
        <v/>
      </c>
      <c r="I43" s="17">
        <f>IF($A43="","",COUNTIFS(Library!$A$2:$A$401,$A43,Library!$AE$2:$AE$401,"Internal use only")+COUNTIFS(Library!$A$2:$A$401,$A43,Library!$AE$2:$AE$401,"Confidential"))</f>
        <v/>
      </c>
      <c r="J43" s="18">
        <f>IF($A43="","",IF(COUNTIFS(Library!$A$2:$A$401,$A43,Library!$Z$2:$Z$401,"&gt;0")=0,"",_xlfn.MINIFS(Library!$Z$2:$Z$401,Library!$A$2:$A$401,$A43)))</f>
        <v/>
      </c>
      <c r="K43" s="18">
        <f>IF($A43="","",IF(COUNTIFS(Library!$A$2:$A$401,$A43,Library!$Z$2:$Z$401,"&gt;0")=0,"",_xlfn.MAXIFS(Library!$Z$2:$Z$401,Library!$A$2:$A$401,$A43)))</f>
        <v/>
      </c>
    </row>
    <row r="44">
      <c r="A44" s="17">
        <f>IF(Products!$A$41="","",Products!$A$41)</f>
        <v/>
      </c>
      <c r="B44" s="17">
        <f>IF($A44="","",Products!$C$41)</f>
        <v/>
      </c>
      <c r="C44" s="17">
        <f>IF($A44="","",Products!$F$41)</f>
        <v/>
      </c>
      <c r="D44" s="17">
        <f>IF($A44="","",COUNTIFS(Library!$A$2:$A$401,$A44))</f>
        <v/>
      </c>
      <c r="E44" s="17">
        <f>IF($A44="","",COUNTIFS(Library!$A$2:$A$401,$A44,Library!$L$2:$L$401,"Yes"))</f>
        <v/>
      </c>
      <c r="F44" s="17">
        <f>IF($A44="","",COUNTIFS(Library!$A$2:$A$401,$A44,Library!$G$2:$G$401,"Clinical trial")+COUNTIFS(Library!$A$2:$A$401,$A44,Library!$G$2:$G$401,"Extension study"))</f>
        <v/>
      </c>
      <c r="G44" s="17">
        <f>IF($A44="","",COUNTIFS(Library!$A$2:$A$401,$A44,Library!$G$2:$G$401,"Registry / Real-world study")+COUNTIFS(Library!$A$2:$A$401,$A44,Library!$G$2:$G$401,"Natural history study"))</f>
        <v/>
      </c>
      <c r="H44" s="17">
        <f>IF($A44="","",COUNTIFS(Library!$A$2:$A$401,$A44,Library!$G$2:$G$401,"Guideline / Consensus")+COUNTIFS(Library!$A$2:$A$401,$A44,Library!$G$2:$G$401,"Expert recommendation"))</f>
        <v/>
      </c>
      <c r="I44" s="17">
        <f>IF($A44="","",COUNTIFS(Library!$A$2:$A$401,$A44,Library!$AE$2:$AE$401,"Internal use only")+COUNTIFS(Library!$A$2:$A$401,$A44,Library!$AE$2:$AE$401,"Confidential"))</f>
        <v/>
      </c>
      <c r="J44" s="18">
        <f>IF($A44="","",IF(COUNTIFS(Library!$A$2:$A$401,$A44,Library!$Z$2:$Z$401,"&gt;0")=0,"",_xlfn.MINIFS(Library!$Z$2:$Z$401,Library!$A$2:$A$401,$A44)))</f>
        <v/>
      </c>
      <c r="K44" s="18">
        <f>IF($A44="","",IF(COUNTIFS(Library!$A$2:$A$401,$A44,Library!$Z$2:$Z$401,"&gt;0")=0,"",_xlfn.MAXIFS(Library!$Z$2:$Z$401,Library!$A$2:$A$401,$A44)))</f>
        <v/>
      </c>
    </row>
    <row r="45">
      <c r="A45" s="17">
        <f>IF(Products!$A$42="","",Products!$A$42)</f>
        <v/>
      </c>
      <c r="B45" s="17">
        <f>IF($A45="","",Products!$C$42)</f>
        <v/>
      </c>
      <c r="C45" s="17">
        <f>IF($A45="","",Products!$F$42)</f>
        <v/>
      </c>
      <c r="D45" s="17">
        <f>IF($A45="","",COUNTIFS(Library!$A$2:$A$401,$A45))</f>
        <v/>
      </c>
      <c r="E45" s="17">
        <f>IF($A45="","",COUNTIFS(Library!$A$2:$A$401,$A45,Library!$L$2:$L$401,"Yes"))</f>
        <v/>
      </c>
      <c r="F45" s="17">
        <f>IF($A45="","",COUNTIFS(Library!$A$2:$A$401,$A45,Library!$G$2:$G$401,"Clinical trial")+COUNTIFS(Library!$A$2:$A$401,$A45,Library!$G$2:$G$401,"Extension study"))</f>
        <v/>
      </c>
      <c r="G45" s="17">
        <f>IF($A45="","",COUNTIFS(Library!$A$2:$A$401,$A45,Library!$G$2:$G$401,"Registry / Real-world study")+COUNTIFS(Library!$A$2:$A$401,$A45,Library!$G$2:$G$401,"Natural history study"))</f>
        <v/>
      </c>
      <c r="H45" s="17">
        <f>IF($A45="","",COUNTIFS(Library!$A$2:$A$401,$A45,Library!$G$2:$G$401,"Guideline / Consensus")+COUNTIFS(Library!$A$2:$A$401,$A45,Library!$G$2:$G$401,"Expert recommendation"))</f>
        <v/>
      </c>
      <c r="I45" s="17">
        <f>IF($A45="","",COUNTIFS(Library!$A$2:$A$401,$A45,Library!$AE$2:$AE$401,"Internal use only")+COUNTIFS(Library!$A$2:$A$401,$A45,Library!$AE$2:$AE$401,"Confidential"))</f>
        <v/>
      </c>
      <c r="J45" s="18">
        <f>IF($A45="","",IF(COUNTIFS(Library!$A$2:$A$401,$A45,Library!$Z$2:$Z$401,"&gt;0")=0,"",_xlfn.MINIFS(Library!$Z$2:$Z$401,Library!$A$2:$A$401,$A45)))</f>
        <v/>
      </c>
      <c r="K45" s="18">
        <f>IF($A45="","",IF(COUNTIFS(Library!$A$2:$A$401,$A45,Library!$Z$2:$Z$401,"&gt;0")=0,"",_xlfn.MAXIFS(Library!$Z$2:$Z$401,Library!$A$2:$A$401,$A45)))</f>
        <v/>
      </c>
    </row>
    <row r="46">
      <c r="A46" s="17">
        <f>IF(Products!$A$43="","",Products!$A$43)</f>
        <v/>
      </c>
      <c r="B46" s="17">
        <f>IF($A46="","",Products!$C$43)</f>
        <v/>
      </c>
      <c r="C46" s="17">
        <f>IF($A46="","",Products!$F$43)</f>
        <v/>
      </c>
      <c r="D46" s="17">
        <f>IF($A46="","",COUNTIFS(Library!$A$2:$A$401,$A46))</f>
        <v/>
      </c>
      <c r="E46" s="17">
        <f>IF($A46="","",COUNTIFS(Library!$A$2:$A$401,$A46,Library!$L$2:$L$401,"Yes"))</f>
        <v/>
      </c>
      <c r="F46" s="17">
        <f>IF($A46="","",COUNTIFS(Library!$A$2:$A$401,$A46,Library!$G$2:$G$401,"Clinical trial")+COUNTIFS(Library!$A$2:$A$401,$A46,Library!$G$2:$G$401,"Extension study"))</f>
        <v/>
      </c>
      <c r="G46" s="17">
        <f>IF($A46="","",COUNTIFS(Library!$A$2:$A$401,$A46,Library!$G$2:$G$401,"Registry / Real-world study")+COUNTIFS(Library!$A$2:$A$401,$A46,Library!$G$2:$G$401,"Natural history study"))</f>
        <v/>
      </c>
      <c r="H46" s="17">
        <f>IF($A46="","",COUNTIFS(Library!$A$2:$A$401,$A46,Library!$G$2:$G$401,"Guideline / Consensus")+COUNTIFS(Library!$A$2:$A$401,$A46,Library!$G$2:$G$401,"Expert recommendation"))</f>
        <v/>
      </c>
      <c r="I46" s="17">
        <f>IF($A46="","",COUNTIFS(Library!$A$2:$A$401,$A46,Library!$AE$2:$AE$401,"Internal use only")+COUNTIFS(Library!$A$2:$A$401,$A46,Library!$AE$2:$AE$401,"Confidential"))</f>
        <v/>
      </c>
      <c r="J46" s="18">
        <f>IF($A46="","",IF(COUNTIFS(Library!$A$2:$A$401,$A46,Library!$Z$2:$Z$401,"&gt;0")=0,"",_xlfn.MINIFS(Library!$Z$2:$Z$401,Library!$A$2:$A$401,$A46)))</f>
        <v/>
      </c>
      <c r="K46" s="18">
        <f>IF($A46="","",IF(COUNTIFS(Library!$A$2:$A$401,$A46,Library!$Z$2:$Z$401,"&gt;0")=0,"",_xlfn.MAXIFS(Library!$Z$2:$Z$401,Library!$A$2:$A$401,$A46)))</f>
        <v/>
      </c>
    </row>
    <row r="47">
      <c r="A47" s="17">
        <f>IF(Products!$A$44="","",Products!$A$44)</f>
        <v/>
      </c>
      <c r="B47" s="17">
        <f>IF($A47="","",Products!$C$44)</f>
        <v/>
      </c>
      <c r="C47" s="17">
        <f>IF($A47="","",Products!$F$44)</f>
        <v/>
      </c>
      <c r="D47" s="17">
        <f>IF($A47="","",COUNTIFS(Library!$A$2:$A$401,$A47))</f>
        <v/>
      </c>
      <c r="E47" s="17">
        <f>IF($A47="","",COUNTIFS(Library!$A$2:$A$401,$A47,Library!$L$2:$L$401,"Yes"))</f>
        <v/>
      </c>
      <c r="F47" s="17">
        <f>IF($A47="","",COUNTIFS(Library!$A$2:$A$401,$A47,Library!$G$2:$G$401,"Clinical trial")+COUNTIFS(Library!$A$2:$A$401,$A47,Library!$G$2:$G$401,"Extension study"))</f>
        <v/>
      </c>
      <c r="G47" s="17">
        <f>IF($A47="","",COUNTIFS(Library!$A$2:$A$401,$A47,Library!$G$2:$G$401,"Registry / Real-world study")+COUNTIFS(Library!$A$2:$A$401,$A47,Library!$G$2:$G$401,"Natural history study"))</f>
        <v/>
      </c>
      <c r="H47" s="17">
        <f>IF($A47="","",COUNTIFS(Library!$A$2:$A$401,$A47,Library!$G$2:$G$401,"Guideline / Consensus")+COUNTIFS(Library!$A$2:$A$401,$A47,Library!$G$2:$G$401,"Expert recommendation"))</f>
        <v/>
      </c>
      <c r="I47" s="17">
        <f>IF($A47="","",COUNTIFS(Library!$A$2:$A$401,$A47,Library!$AE$2:$AE$401,"Internal use only")+COUNTIFS(Library!$A$2:$A$401,$A47,Library!$AE$2:$AE$401,"Confidential"))</f>
        <v/>
      </c>
      <c r="J47" s="18">
        <f>IF($A47="","",IF(COUNTIFS(Library!$A$2:$A$401,$A47,Library!$Z$2:$Z$401,"&gt;0")=0,"",_xlfn.MINIFS(Library!$Z$2:$Z$401,Library!$A$2:$A$401,$A47)))</f>
        <v/>
      </c>
      <c r="K47" s="18">
        <f>IF($A47="","",IF(COUNTIFS(Library!$A$2:$A$401,$A47,Library!$Z$2:$Z$401,"&gt;0")=0,"",_xlfn.MAXIFS(Library!$Z$2:$Z$401,Library!$A$2:$A$401,$A47)))</f>
        <v/>
      </c>
    </row>
    <row r="48">
      <c r="A48" s="17">
        <f>IF(Products!$A$45="","",Products!$A$45)</f>
        <v/>
      </c>
      <c r="B48" s="17">
        <f>IF($A48="","",Products!$C$45)</f>
        <v/>
      </c>
      <c r="C48" s="17">
        <f>IF($A48="","",Products!$F$45)</f>
        <v/>
      </c>
      <c r="D48" s="17">
        <f>IF($A48="","",COUNTIFS(Library!$A$2:$A$401,$A48))</f>
        <v/>
      </c>
      <c r="E48" s="17">
        <f>IF($A48="","",COUNTIFS(Library!$A$2:$A$401,$A48,Library!$L$2:$L$401,"Yes"))</f>
        <v/>
      </c>
      <c r="F48" s="17">
        <f>IF($A48="","",COUNTIFS(Library!$A$2:$A$401,$A48,Library!$G$2:$G$401,"Clinical trial")+COUNTIFS(Library!$A$2:$A$401,$A48,Library!$G$2:$G$401,"Extension study"))</f>
        <v/>
      </c>
      <c r="G48" s="17">
        <f>IF($A48="","",COUNTIFS(Library!$A$2:$A$401,$A48,Library!$G$2:$G$401,"Registry / Real-world study")+COUNTIFS(Library!$A$2:$A$401,$A48,Library!$G$2:$G$401,"Natural history study"))</f>
        <v/>
      </c>
      <c r="H48" s="17">
        <f>IF($A48="","",COUNTIFS(Library!$A$2:$A$401,$A48,Library!$G$2:$G$401,"Guideline / Consensus")+COUNTIFS(Library!$A$2:$A$401,$A48,Library!$G$2:$G$401,"Expert recommendation"))</f>
        <v/>
      </c>
      <c r="I48" s="17">
        <f>IF($A48="","",COUNTIFS(Library!$A$2:$A$401,$A48,Library!$AE$2:$AE$401,"Internal use only")+COUNTIFS(Library!$A$2:$A$401,$A48,Library!$AE$2:$AE$401,"Confidential"))</f>
        <v/>
      </c>
      <c r="J48" s="18">
        <f>IF($A48="","",IF(COUNTIFS(Library!$A$2:$A$401,$A48,Library!$Z$2:$Z$401,"&gt;0")=0,"",_xlfn.MINIFS(Library!$Z$2:$Z$401,Library!$A$2:$A$401,$A48)))</f>
        <v/>
      </c>
      <c r="K48" s="18">
        <f>IF($A48="","",IF(COUNTIFS(Library!$A$2:$A$401,$A48,Library!$Z$2:$Z$401,"&gt;0")=0,"",_xlfn.MAXIFS(Library!$Z$2:$Z$401,Library!$A$2:$A$401,$A48)))</f>
        <v/>
      </c>
    </row>
    <row r="49">
      <c r="A49" s="17">
        <f>IF(Products!$A$46="","",Products!$A$46)</f>
        <v/>
      </c>
      <c r="B49" s="17">
        <f>IF($A49="","",Products!$C$46)</f>
        <v/>
      </c>
      <c r="C49" s="17">
        <f>IF($A49="","",Products!$F$46)</f>
        <v/>
      </c>
      <c r="D49" s="17">
        <f>IF($A49="","",COUNTIFS(Library!$A$2:$A$401,$A49))</f>
        <v/>
      </c>
      <c r="E49" s="17">
        <f>IF($A49="","",COUNTIFS(Library!$A$2:$A$401,$A49,Library!$L$2:$L$401,"Yes"))</f>
        <v/>
      </c>
      <c r="F49" s="17">
        <f>IF($A49="","",COUNTIFS(Library!$A$2:$A$401,$A49,Library!$G$2:$G$401,"Clinical trial")+COUNTIFS(Library!$A$2:$A$401,$A49,Library!$G$2:$G$401,"Extension study"))</f>
        <v/>
      </c>
      <c r="G49" s="17">
        <f>IF($A49="","",COUNTIFS(Library!$A$2:$A$401,$A49,Library!$G$2:$G$401,"Registry / Real-world study")+COUNTIFS(Library!$A$2:$A$401,$A49,Library!$G$2:$G$401,"Natural history study"))</f>
        <v/>
      </c>
      <c r="H49" s="17">
        <f>IF($A49="","",COUNTIFS(Library!$A$2:$A$401,$A49,Library!$G$2:$G$401,"Guideline / Consensus")+COUNTIFS(Library!$A$2:$A$401,$A49,Library!$G$2:$G$401,"Expert recommendation"))</f>
        <v/>
      </c>
      <c r="I49" s="17">
        <f>IF($A49="","",COUNTIFS(Library!$A$2:$A$401,$A49,Library!$AE$2:$AE$401,"Internal use only")+COUNTIFS(Library!$A$2:$A$401,$A49,Library!$AE$2:$AE$401,"Confidential"))</f>
        <v/>
      </c>
      <c r="J49" s="18">
        <f>IF($A49="","",IF(COUNTIFS(Library!$A$2:$A$401,$A49,Library!$Z$2:$Z$401,"&gt;0")=0,"",_xlfn.MINIFS(Library!$Z$2:$Z$401,Library!$A$2:$A$401,$A49)))</f>
        <v/>
      </c>
      <c r="K49" s="18">
        <f>IF($A49="","",IF(COUNTIFS(Library!$A$2:$A$401,$A49,Library!$Z$2:$Z$401,"&gt;0")=0,"",_xlfn.MAXIFS(Library!$Z$2:$Z$401,Library!$A$2:$A$401,$A49)))</f>
        <v/>
      </c>
    </row>
    <row r="50">
      <c r="A50" s="17">
        <f>IF(Products!$A$47="","",Products!$A$47)</f>
        <v/>
      </c>
      <c r="B50" s="17">
        <f>IF($A50="","",Products!$C$47)</f>
        <v/>
      </c>
      <c r="C50" s="17">
        <f>IF($A50="","",Products!$F$47)</f>
        <v/>
      </c>
      <c r="D50" s="17">
        <f>IF($A50="","",COUNTIFS(Library!$A$2:$A$401,$A50))</f>
        <v/>
      </c>
      <c r="E50" s="17">
        <f>IF($A50="","",COUNTIFS(Library!$A$2:$A$401,$A50,Library!$L$2:$L$401,"Yes"))</f>
        <v/>
      </c>
      <c r="F50" s="17">
        <f>IF($A50="","",COUNTIFS(Library!$A$2:$A$401,$A50,Library!$G$2:$G$401,"Clinical trial")+COUNTIFS(Library!$A$2:$A$401,$A50,Library!$G$2:$G$401,"Extension study"))</f>
        <v/>
      </c>
      <c r="G50" s="17">
        <f>IF($A50="","",COUNTIFS(Library!$A$2:$A$401,$A50,Library!$G$2:$G$401,"Registry / Real-world study")+COUNTIFS(Library!$A$2:$A$401,$A50,Library!$G$2:$G$401,"Natural history study"))</f>
        <v/>
      </c>
      <c r="H50" s="17">
        <f>IF($A50="","",COUNTIFS(Library!$A$2:$A$401,$A50,Library!$G$2:$G$401,"Guideline / Consensus")+COUNTIFS(Library!$A$2:$A$401,$A50,Library!$G$2:$G$401,"Expert recommendation"))</f>
        <v/>
      </c>
      <c r="I50" s="17">
        <f>IF($A50="","",COUNTIFS(Library!$A$2:$A$401,$A50,Library!$AE$2:$AE$401,"Internal use only")+COUNTIFS(Library!$A$2:$A$401,$A50,Library!$AE$2:$AE$401,"Confidential"))</f>
        <v/>
      </c>
      <c r="J50" s="18">
        <f>IF($A50="","",IF(COUNTIFS(Library!$A$2:$A$401,$A50,Library!$Z$2:$Z$401,"&gt;0")=0,"",_xlfn.MINIFS(Library!$Z$2:$Z$401,Library!$A$2:$A$401,$A50)))</f>
        <v/>
      </c>
      <c r="K50" s="18">
        <f>IF($A50="","",IF(COUNTIFS(Library!$A$2:$A$401,$A50,Library!$Z$2:$Z$401,"&gt;0")=0,"",_xlfn.MAXIFS(Library!$Z$2:$Z$401,Library!$A$2:$A$401,$A50)))</f>
        <v/>
      </c>
    </row>
    <row r="51">
      <c r="A51" s="17">
        <f>IF(Products!$A$48="","",Products!$A$48)</f>
        <v/>
      </c>
      <c r="B51" s="17">
        <f>IF($A51="","",Products!$C$48)</f>
        <v/>
      </c>
      <c r="C51" s="17">
        <f>IF($A51="","",Products!$F$48)</f>
        <v/>
      </c>
      <c r="D51" s="17">
        <f>IF($A51="","",COUNTIFS(Library!$A$2:$A$401,$A51))</f>
        <v/>
      </c>
      <c r="E51" s="17">
        <f>IF($A51="","",COUNTIFS(Library!$A$2:$A$401,$A51,Library!$L$2:$L$401,"Yes"))</f>
        <v/>
      </c>
      <c r="F51" s="17">
        <f>IF($A51="","",COUNTIFS(Library!$A$2:$A$401,$A51,Library!$G$2:$G$401,"Clinical trial")+COUNTIFS(Library!$A$2:$A$401,$A51,Library!$G$2:$G$401,"Extension study"))</f>
        <v/>
      </c>
      <c r="G51" s="17">
        <f>IF($A51="","",COUNTIFS(Library!$A$2:$A$401,$A51,Library!$G$2:$G$401,"Registry / Real-world study")+COUNTIFS(Library!$A$2:$A$401,$A51,Library!$G$2:$G$401,"Natural history study"))</f>
        <v/>
      </c>
      <c r="H51" s="17">
        <f>IF($A51="","",COUNTIFS(Library!$A$2:$A$401,$A51,Library!$G$2:$G$401,"Guideline / Consensus")+COUNTIFS(Library!$A$2:$A$401,$A51,Library!$G$2:$G$401,"Expert recommendation"))</f>
        <v/>
      </c>
      <c r="I51" s="17">
        <f>IF($A51="","",COUNTIFS(Library!$A$2:$A$401,$A51,Library!$AE$2:$AE$401,"Internal use only")+COUNTIFS(Library!$A$2:$A$401,$A51,Library!$AE$2:$AE$401,"Confidential"))</f>
        <v/>
      </c>
      <c r="J51" s="18">
        <f>IF($A51="","",IF(COUNTIFS(Library!$A$2:$A$401,$A51,Library!$Z$2:$Z$401,"&gt;0")=0,"",_xlfn.MINIFS(Library!$Z$2:$Z$401,Library!$A$2:$A$401,$A51)))</f>
        <v/>
      </c>
      <c r="K51" s="18">
        <f>IF($A51="","",IF(COUNTIFS(Library!$A$2:$A$401,$A51,Library!$Z$2:$Z$401,"&gt;0")=0,"",_xlfn.MAXIFS(Library!$Z$2:$Z$401,Library!$A$2:$A$401,$A51)))</f>
        <v/>
      </c>
    </row>
    <row r="52">
      <c r="A52" s="17">
        <f>IF(Products!$A$49="","",Products!$A$49)</f>
        <v/>
      </c>
      <c r="B52" s="17">
        <f>IF($A52="","",Products!$C$49)</f>
        <v/>
      </c>
      <c r="C52" s="17">
        <f>IF($A52="","",Products!$F$49)</f>
        <v/>
      </c>
      <c r="D52" s="17">
        <f>IF($A52="","",COUNTIFS(Library!$A$2:$A$401,$A52))</f>
        <v/>
      </c>
      <c r="E52" s="17">
        <f>IF($A52="","",COUNTIFS(Library!$A$2:$A$401,$A52,Library!$L$2:$L$401,"Yes"))</f>
        <v/>
      </c>
      <c r="F52" s="17">
        <f>IF($A52="","",COUNTIFS(Library!$A$2:$A$401,$A52,Library!$G$2:$G$401,"Clinical trial")+COUNTIFS(Library!$A$2:$A$401,$A52,Library!$G$2:$G$401,"Extension study"))</f>
        <v/>
      </c>
      <c r="G52" s="17">
        <f>IF($A52="","",COUNTIFS(Library!$A$2:$A$401,$A52,Library!$G$2:$G$401,"Registry / Real-world study")+COUNTIFS(Library!$A$2:$A$401,$A52,Library!$G$2:$G$401,"Natural history study"))</f>
        <v/>
      </c>
      <c r="H52" s="17">
        <f>IF($A52="","",COUNTIFS(Library!$A$2:$A$401,$A52,Library!$G$2:$G$401,"Guideline / Consensus")+COUNTIFS(Library!$A$2:$A$401,$A52,Library!$G$2:$G$401,"Expert recommendation"))</f>
        <v/>
      </c>
      <c r="I52" s="17">
        <f>IF($A52="","",COUNTIFS(Library!$A$2:$A$401,$A52,Library!$AE$2:$AE$401,"Internal use only")+COUNTIFS(Library!$A$2:$A$401,$A52,Library!$AE$2:$AE$401,"Confidential"))</f>
        <v/>
      </c>
      <c r="J52" s="18">
        <f>IF($A52="","",IF(COUNTIFS(Library!$A$2:$A$401,$A52,Library!$Z$2:$Z$401,"&gt;0")=0,"",_xlfn.MINIFS(Library!$Z$2:$Z$401,Library!$A$2:$A$401,$A52)))</f>
        <v/>
      </c>
      <c r="K52" s="18">
        <f>IF($A52="","",IF(COUNTIFS(Library!$A$2:$A$401,$A52,Library!$Z$2:$Z$401,"&gt;0")=0,"",_xlfn.MAXIFS(Library!$Z$2:$Z$401,Library!$A$2:$A$401,$A52)))</f>
        <v/>
      </c>
    </row>
    <row r="53">
      <c r="A53" s="17">
        <f>IF(Products!$A$50="","",Products!$A$50)</f>
        <v/>
      </c>
      <c r="B53" s="17">
        <f>IF($A53="","",Products!$C$50)</f>
        <v/>
      </c>
      <c r="C53" s="17">
        <f>IF($A53="","",Products!$F$50)</f>
        <v/>
      </c>
      <c r="D53" s="17">
        <f>IF($A53="","",COUNTIFS(Library!$A$2:$A$401,$A53))</f>
        <v/>
      </c>
      <c r="E53" s="17">
        <f>IF($A53="","",COUNTIFS(Library!$A$2:$A$401,$A53,Library!$L$2:$L$401,"Yes"))</f>
        <v/>
      </c>
      <c r="F53" s="17">
        <f>IF($A53="","",COUNTIFS(Library!$A$2:$A$401,$A53,Library!$G$2:$G$401,"Clinical trial")+COUNTIFS(Library!$A$2:$A$401,$A53,Library!$G$2:$G$401,"Extension study"))</f>
        <v/>
      </c>
      <c r="G53" s="17">
        <f>IF($A53="","",COUNTIFS(Library!$A$2:$A$401,$A53,Library!$G$2:$G$401,"Registry / Real-world study")+COUNTIFS(Library!$A$2:$A$401,$A53,Library!$G$2:$G$401,"Natural history study"))</f>
        <v/>
      </c>
      <c r="H53" s="17">
        <f>IF($A53="","",COUNTIFS(Library!$A$2:$A$401,$A53,Library!$G$2:$G$401,"Guideline / Consensus")+COUNTIFS(Library!$A$2:$A$401,$A53,Library!$G$2:$G$401,"Expert recommendation"))</f>
        <v/>
      </c>
      <c r="I53" s="17">
        <f>IF($A53="","",COUNTIFS(Library!$A$2:$A$401,$A53,Library!$AE$2:$AE$401,"Internal use only")+COUNTIFS(Library!$A$2:$A$401,$A53,Library!$AE$2:$AE$401,"Confidential"))</f>
        <v/>
      </c>
      <c r="J53" s="18">
        <f>IF($A53="","",IF(COUNTIFS(Library!$A$2:$A$401,$A53,Library!$Z$2:$Z$401,"&gt;0")=0,"",_xlfn.MINIFS(Library!$Z$2:$Z$401,Library!$A$2:$A$401,$A53)))</f>
        <v/>
      </c>
      <c r="K53" s="18">
        <f>IF($A53="","",IF(COUNTIFS(Library!$A$2:$A$401,$A53,Library!$Z$2:$Z$401,"&gt;0")=0,"",_xlfn.MAXIFS(Library!$Z$2:$Z$401,Library!$A$2:$A$401,$A53)))</f>
        <v/>
      </c>
    </row>
    <row r="54">
      <c r="A54" s="17">
        <f>IF(Products!$A$51="","",Products!$A$51)</f>
        <v/>
      </c>
      <c r="B54" s="17">
        <f>IF($A54="","",Products!$C$51)</f>
        <v/>
      </c>
      <c r="C54" s="17">
        <f>IF($A54="","",Products!$F$51)</f>
        <v/>
      </c>
      <c r="D54" s="17">
        <f>IF($A54="","",COUNTIFS(Library!$A$2:$A$401,$A54))</f>
        <v/>
      </c>
      <c r="E54" s="17">
        <f>IF($A54="","",COUNTIFS(Library!$A$2:$A$401,$A54,Library!$L$2:$L$401,"Yes"))</f>
        <v/>
      </c>
      <c r="F54" s="17">
        <f>IF($A54="","",COUNTIFS(Library!$A$2:$A$401,$A54,Library!$G$2:$G$401,"Clinical trial")+COUNTIFS(Library!$A$2:$A$401,$A54,Library!$G$2:$G$401,"Extension study"))</f>
        <v/>
      </c>
      <c r="G54" s="17">
        <f>IF($A54="","",COUNTIFS(Library!$A$2:$A$401,$A54,Library!$G$2:$G$401,"Registry / Real-world study")+COUNTIFS(Library!$A$2:$A$401,$A54,Library!$G$2:$G$401,"Natural history study"))</f>
        <v/>
      </c>
      <c r="H54" s="17">
        <f>IF($A54="","",COUNTIFS(Library!$A$2:$A$401,$A54,Library!$G$2:$G$401,"Guideline / Consensus")+COUNTIFS(Library!$A$2:$A$401,$A54,Library!$G$2:$G$401,"Expert recommendation"))</f>
        <v/>
      </c>
      <c r="I54" s="17">
        <f>IF($A54="","",COUNTIFS(Library!$A$2:$A$401,$A54,Library!$AE$2:$AE$401,"Internal use only")+COUNTIFS(Library!$A$2:$A$401,$A54,Library!$AE$2:$AE$401,"Confidential"))</f>
        <v/>
      </c>
      <c r="J54" s="18">
        <f>IF($A54="","",IF(COUNTIFS(Library!$A$2:$A$401,$A54,Library!$Z$2:$Z$401,"&gt;0")=0,"",_xlfn.MINIFS(Library!$Z$2:$Z$401,Library!$A$2:$A$401,$A54)))</f>
        <v/>
      </c>
      <c r="K54" s="18">
        <f>IF($A54="","",IF(COUNTIFS(Library!$A$2:$A$401,$A54,Library!$Z$2:$Z$401,"&gt;0")=0,"",_xlfn.MAXIFS(Library!$Z$2:$Z$401,Library!$A$2:$A$401,$A54)))</f>
        <v/>
      </c>
    </row>
    <row r="55">
      <c r="A55" s="17">
        <f>IF(Products!$A$52="","",Products!$A$52)</f>
        <v/>
      </c>
      <c r="B55" s="17">
        <f>IF($A55="","",Products!$C$52)</f>
        <v/>
      </c>
      <c r="C55" s="17">
        <f>IF($A55="","",Products!$F$52)</f>
        <v/>
      </c>
      <c r="D55" s="17">
        <f>IF($A55="","",COUNTIFS(Library!$A$2:$A$401,$A55))</f>
        <v/>
      </c>
      <c r="E55" s="17">
        <f>IF($A55="","",COUNTIFS(Library!$A$2:$A$401,$A55,Library!$L$2:$L$401,"Yes"))</f>
        <v/>
      </c>
      <c r="F55" s="17">
        <f>IF($A55="","",COUNTIFS(Library!$A$2:$A$401,$A55,Library!$G$2:$G$401,"Clinical trial")+COUNTIFS(Library!$A$2:$A$401,$A55,Library!$G$2:$G$401,"Extension study"))</f>
        <v/>
      </c>
      <c r="G55" s="17">
        <f>IF($A55="","",COUNTIFS(Library!$A$2:$A$401,$A55,Library!$G$2:$G$401,"Registry / Real-world study")+COUNTIFS(Library!$A$2:$A$401,$A55,Library!$G$2:$G$401,"Natural history study"))</f>
        <v/>
      </c>
      <c r="H55" s="17">
        <f>IF($A55="","",COUNTIFS(Library!$A$2:$A$401,$A55,Library!$G$2:$G$401,"Guideline / Consensus")+COUNTIFS(Library!$A$2:$A$401,$A55,Library!$G$2:$G$401,"Expert recommendation"))</f>
        <v/>
      </c>
      <c r="I55" s="17">
        <f>IF($A55="","",COUNTIFS(Library!$A$2:$A$401,$A55,Library!$AE$2:$AE$401,"Internal use only")+COUNTIFS(Library!$A$2:$A$401,$A55,Library!$AE$2:$AE$401,"Confidential"))</f>
        <v/>
      </c>
      <c r="J55" s="18">
        <f>IF($A55="","",IF(COUNTIFS(Library!$A$2:$A$401,$A55,Library!$Z$2:$Z$401,"&gt;0")=0,"",_xlfn.MINIFS(Library!$Z$2:$Z$401,Library!$A$2:$A$401,$A55)))</f>
        <v/>
      </c>
      <c r="K55" s="18">
        <f>IF($A55="","",IF(COUNTIFS(Library!$A$2:$A$401,$A55,Library!$Z$2:$Z$401,"&gt;0")=0,"",_xlfn.MAXIFS(Library!$Z$2:$Z$401,Library!$A$2:$A$401,$A55)))</f>
        <v/>
      </c>
    </row>
    <row r="56">
      <c r="A56" s="17">
        <f>IF(Products!$A$53="","",Products!$A$53)</f>
        <v/>
      </c>
      <c r="B56" s="17">
        <f>IF($A56="","",Products!$C$53)</f>
        <v/>
      </c>
      <c r="C56" s="17">
        <f>IF($A56="","",Products!$F$53)</f>
        <v/>
      </c>
      <c r="D56" s="17">
        <f>IF($A56="","",COUNTIFS(Library!$A$2:$A$401,$A56))</f>
        <v/>
      </c>
      <c r="E56" s="17">
        <f>IF($A56="","",COUNTIFS(Library!$A$2:$A$401,$A56,Library!$L$2:$L$401,"Yes"))</f>
        <v/>
      </c>
      <c r="F56" s="17">
        <f>IF($A56="","",COUNTIFS(Library!$A$2:$A$401,$A56,Library!$G$2:$G$401,"Clinical trial")+COUNTIFS(Library!$A$2:$A$401,$A56,Library!$G$2:$G$401,"Extension study"))</f>
        <v/>
      </c>
      <c r="G56" s="17">
        <f>IF($A56="","",COUNTIFS(Library!$A$2:$A$401,$A56,Library!$G$2:$G$401,"Registry / Real-world study")+COUNTIFS(Library!$A$2:$A$401,$A56,Library!$G$2:$G$401,"Natural history study"))</f>
        <v/>
      </c>
      <c r="H56" s="17">
        <f>IF($A56="","",COUNTIFS(Library!$A$2:$A$401,$A56,Library!$G$2:$G$401,"Guideline / Consensus")+COUNTIFS(Library!$A$2:$A$401,$A56,Library!$G$2:$G$401,"Expert recommendation"))</f>
        <v/>
      </c>
      <c r="I56" s="17">
        <f>IF($A56="","",COUNTIFS(Library!$A$2:$A$401,$A56,Library!$AE$2:$AE$401,"Internal use only")+COUNTIFS(Library!$A$2:$A$401,$A56,Library!$AE$2:$AE$401,"Confidential"))</f>
        <v/>
      </c>
      <c r="J56" s="18">
        <f>IF($A56="","",IF(COUNTIFS(Library!$A$2:$A$401,$A56,Library!$Z$2:$Z$401,"&gt;0")=0,"",_xlfn.MINIFS(Library!$Z$2:$Z$401,Library!$A$2:$A$401,$A56)))</f>
        <v/>
      </c>
      <c r="K56" s="18">
        <f>IF($A56="","",IF(COUNTIFS(Library!$A$2:$A$401,$A56,Library!$Z$2:$Z$401,"&gt;0")=0,"",_xlfn.MAXIFS(Library!$Z$2:$Z$401,Library!$A$2:$A$401,$A56)))</f>
        <v/>
      </c>
    </row>
    <row r="57">
      <c r="A57" s="17">
        <f>IF(Products!$A$54="","",Products!$A$54)</f>
        <v/>
      </c>
      <c r="B57" s="17">
        <f>IF($A57="","",Products!$C$54)</f>
        <v/>
      </c>
      <c r="C57" s="17">
        <f>IF($A57="","",Products!$F$54)</f>
        <v/>
      </c>
      <c r="D57" s="17">
        <f>IF($A57="","",COUNTIFS(Library!$A$2:$A$401,$A57))</f>
        <v/>
      </c>
      <c r="E57" s="17">
        <f>IF($A57="","",COUNTIFS(Library!$A$2:$A$401,$A57,Library!$L$2:$L$401,"Yes"))</f>
        <v/>
      </c>
      <c r="F57" s="17">
        <f>IF($A57="","",COUNTIFS(Library!$A$2:$A$401,$A57,Library!$G$2:$G$401,"Clinical trial")+COUNTIFS(Library!$A$2:$A$401,$A57,Library!$G$2:$G$401,"Extension study"))</f>
        <v/>
      </c>
      <c r="G57" s="17">
        <f>IF($A57="","",COUNTIFS(Library!$A$2:$A$401,$A57,Library!$G$2:$G$401,"Registry / Real-world study")+COUNTIFS(Library!$A$2:$A$401,$A57,Library!$G$2:$G$401,"Natural history study"))</f>
        <v/>
      </c>
      <c r="H57" s="17">
        <f>IF($A57="","",COUNTIFS(Library!$A$2:$A$401,$A57,Library!$G$2:$G$401,"Guideline / Consensus")+COUNTIFS(Library!$A$2:$A$401,$A57,Library!$G$2:$G$401,"Expert recommendation"))</f>
        <v/>
      </c>
      <c r="I57" s="17">
        <f>IF($A57="","",COUNTIFS(Library!$A$2:$A$401,$A57,Library!$AE$2:$AE$401,"Internal use only")+COUNTIFS(Library!$A$2:$A$401,$A57,Library!$AE$2:$AE$401,"Confidential"))</f>
        <v/>
      </c>
      <c r="J57" s="18">
        <f>IF($A57="","",IF(COUNTIFS(Library!$A$2:$A$401,$A57,Library!$Z$2:$Z$401,"&gt;0")=0,"",_xlfn.MINIFS(Library!$Z$2:$Z$401,Library!$A$2:$A$401,$A57)))</f>
        <v/>
      </c>
      <c r="K57" s="18">
        <f>IF($A57="","",IF(COUNTIFS(Library!$A$2:$A$401,$A57,Library!$Z$2:$Z$401,"&gt;0")=0,"",_xlfn.MAXIFS(Library!$Z$2:$Z$401,Library!$A$2:$A$401,$A57)))</f>
        <v/>
      </c>
    </row>
    <row r="58">
      <c r="A58" s="17">
        <f>IF(Products!$A$55="","",Products!$A$55)</f>
        <v/>
      </c>
      <c r="B58" s="17">
        <f>IF($A58="","",Products!$C$55)</f>
        <v/>
      </c>
      <c r="C58" s="17">
        <f>IF($A58="","",Products!$F$55)</f>
        <v/>
      </c>
      <c r="D58" s="17">
        <f>IF($A58="","",COUNTIFS(Library!$A$2:$A$401,$A58))</f>
        <v/>
      </c>
      <c r="E58" s="17">
        <f>IF($A58="","",COUNTIFS(Library!$A$2:$A$401,$A58,Library!$L$2:$L$401,"Yes"))</f>
        <v/>
      </c>
      <c r="F58" s="17">
        <f>IF($A58="","",COUNTIFS(Library!$A$2:$A$401,$A58,Library!$G$2:$G$401,"Clinical trial")+COUNTIFS(Library!$A$2:$A$401,$A58,Library!$G$2:$G$401,"Extension study"))</f>
        <v/>
      </c>
      <c r="G58" s="17">
        <f>IF($A58="","",COUNTIFS(Library!$A$2:$A$401,$A58,Library!$G$2:$G$401,"Registry / Real-world study")+COUNTIFS(Library!$A$2:$A$401,$A58,Library!$G$2:$G$401,"Natural history study"))</f>
        <v/>
      </c>
      <c r="H58" s="17">
        <f>IF($A58="","",COUNTIFS(Library!$A$2:$A$401,$A58,Library!$G$2:$G$401,"Guideline / Consensus")+COUNTIFS(Library!$A$2:$A$401,$A58,Library!$G$2:$G$401,"Expert recommendation"))</f>
        <v/>
      </c>
      <c r="I58" s="17">
        <f>IF($A58="","",COUNTIFS(Library!$A$2:$A$401,$A58,Library!$AE$2:$AE$401,"Internal use only")+COUNTIFS(Library!$A$2:$A$401,$A58,Library!$AE$2:$AE$401,"Confidential"))</f>
        <v/>
      </c>
      <c r="J58" s="18">
        <f>IF($A58="","",IF(COUNTIFS(Library!$A$2:$A$401,$A58,Library!$Z$2:$Z$401,"&gt;0")=0,"",_xlfn.MINIFS(Library!$Z$2:$Z$401,Library!$A$2:$A$401,$A58)))</f>
        <v/>
      </c>
      <c r="K58" s="18">
        <f>IF($A58="","",IF(COUNTIFS(Library!$A$2:$A$401,$A58,Library!$Z$2:$Z$401,"&gt;0")=0,"",_xlfn.MAXIFS(Library!$Z$2:$Z$401,Library!$A$2:$A$401,$A58)))</f>
        <v/>
      </c>
    </row>
    <row r="59">
      <c r="A59" s="17">
        <f>IF(Products!$A$56="","",Products!$A$56)</f>
        <v/>
      </c>
      <c r="B59" s="17">
        <f>IF($A59="","",Products!$C$56)</f>
        <v/>
      </c>
      <c r="C59" s="17">
        <f>IF($A59="","",Products!$F$56)</f>
        <v/>
      </c>
      <c r="D59" s="17">
        <f>IF($A59="","",COUNTIFS(Library!$A$2:$A$401,$A59))</f>
        <v/>
      </c>
      <c r="E59" s="17">
        <f>IF($A59="","",COUNTIFS(Library!$A$2:$A$401,$A59,Library!$L$2:$L$401,"Yes"))</f>
        <v/>
      </c>
      <c r="F59" s="17">
        <f>IF($A59="","",COUNTIFS(Library!$A$2:$A$401,$A59,Library!$G$2:$G$401,"Clinical trial")+COUNTIFS(Library!$A$2:$A$401,$A59,Library!$G$2:$G$401,"Extension study"))</f>
        <v/>
      </c>
      <c r="G59" s="17">
        <f>IF($A59="","",COUNTIFS(Library!$A$2:$A$401,$A59,Library!$G$2:$G$401,"Registry / Real-world study")+COUNTIFS(Library!$A$2:$A$401,$A59,Library!$G$2:$G$401,"Natural history study"))</f>
        <v/>
      </c>
      <c r="H59" s="17">
        <f>IF($A59="","",COUNTIFS(Library!$A$2:$A$401,$A59,Library!$G$2:$G$401,"Guideline / Consensus")+COUNTIFS(Library!$A$2:$A$401,$A59,Library!$G$2:$G$401,"Expert recommendation"))</f>
        <v/>
      </c>
      <c r="I59" s="17">
        <f>IF($A59="","",COUNTIFS(Library!$A$2:$A$401,$A59,Library!$AE$2:$AE$401,"Internal use only")+COUNTIFS(Library!$A$2:$A$401,$A59,Library!$AE$2:$AE$401,"Confidential"))</f>
        <v/>
      </c>
      <c r="J59" s="18">
        <f>IF($A59="","",IF(COUNTIFS(Library!$A$2:$A$401,$A59,Library!$Z$2:$Z$401,"&gt;0")=0,"",_xlfn.MINIFS(Library!$Z$2:$Z$401,Library!$A$2:$A$401,$A59)))</f>
        <v/>
      </c>
      <c r="K59" s="18">
        <f>IF($A59="","",IF(COUNTIFS(Library!$A$2:$A$401,$A59,Library!$Z$2:$Z$401,"&gt;0")=0,"",_xlfn.MAXIFS(Library!$Z$2:$Z$401,Library!$A$2:$A$401,$A59)))</f>
        <v/>
      </c>
    </row>
    <row r="60">
      <c r="A60" s="17">
        <f>IF(Products!$A$57="","",Products!$A$57)</f>
        <v/>
      </c>
      <c r="B60" s="17">
        <f>IF($A60="","",Products!$C$57)</f>
        <v/>
      </c>
      <c r="C60" s="17">
        <f>IF($A60="","",Products!$F$57)</f>
        <v/>
      </c>
      <c r="D60" s="17">
        <f>IF($A60="","",COUNTIFS(Library!$A$2:$A$401,$A60))</f>
        <v/>
      </c>
      <c r="E60" s="17">
        <f>IF($A60="","",COUNTIFS(Library!$A$2:$A$401,$A60,Library!$L$2:$L$401,"Yes"))</f>
        <v/>
      </c>
      <c r="F60" s="17">
        <f>IF($A60="","",COUNTIFS(Library!$A$2:$A$401,$A60,Library!$G$2:$G$401,"Clinical trial")+COUNTIFS(Library!$A$2:$A$401,$A60,Library!$G$2:$G$401,"Extension study"))</f>
        <v/>
      </c>
      <c r="G60" s="17">
        <f>IF($A60="","",COUNTIFS(Library!$A$2:$A$401,$A60,Library!$G$2:$G$401,"Registry / Real-world study")+COUNTIFS(Library!$A$2:$A$401,$A60,Library!$G$2:$G$401,"Natural history study"))</f>
        <v/>
      </c>
      <c r="H60" s="17">
        <f>IF($A60="","",COUNTIFS(Library!$A$2:$A$401,$A60,Library!$G$2:$G$401,"Guideline / Consensus")+COUNTIFS(Library!$A$2:$A$401,$A60,Library!$G$2:$G$401,"Expert recommendation"))</f>
        <v/>
      </c>
      <c r="I60" s="17">
        <f>IF($A60="","",COUNTIFS(Library!$A$2:$A$401,$A60,Library!$AE$2:$AE$401,"Internal use only")+COUNTIFS(Library!$A$2:$A$401,$A60,Library!$AE$2:$AE$401,"Confidential"))</f>
        <v/>
      </c>
      <c r="J60" s="18">
        <f>IF($A60="","",IF(COUNTIFS(Library!$A$2:$A$401,$A60,Library!$Z$2:$Z$401,"&gt;0")=0,"",_xlfn.MINIFS(Library!$Z$2:$Z$401,Library!$A$2:$A$401,$A60)))</f>
        <v/>
      </c>
      <c r="K60" s="18">
        <f>IF($A60="","",IF(COUNTIFS(Library!$A$2:$A$401,$A60,Library!$Z$2:$Z$401,"&gt;0")=0,"",_xlfn.MAXIFS(Library!$Z$2:$Z$401,Library!$A$2:$A$401,$A60)))</f>
        <v/>
      </c>
    </row>
    <row r="61">
      <c r="A61" s="17">
        <f>IF(Products!$A$58="","",Products!$A$58)</f>
        <v/>
      </c>
      <c r="B61" s="17">
        <f>IF($A61="","",Products!$C$58)</f>
        <v/>
      </c>
      <c r="C61" s="17">
        <f>IF($A61="","",Products!$F$58)</f>
        <v/>
      </c>
      <c r="D61" s="17">
        <f>IF($A61="","",COUNTIFS(Library!$A$2:$A$401,$A61))</f>
        <v/>
      </c>
      <c r="E61" s="17">
        <f>IF($A61="","",COUNTIFS(Library!$A$2:$A$401,$A61,Library!$L$2:$L$401,"Yes"))</f>
        <v/>
      </c>
      <c r="F61" s="17">
        <f>IF($A61="","",COUNTIFS(Library!$A$2:$A$401,$A61,Library!$G$2:$G$401,"Clinical trial")+COUNTIFS(Library!$A$2:$A$401,$A61,Library!$G$2:$G$401,"Extension study"))</f>
        <v/>
      </c>
      <c r="G61" s="17">
        <f>IF($A61="","",COUNTIFS(Library!$A$2:$A$401,$A61,Library!$G$2:$G$401,"Registry / Real-world study")+COUNTIFS(Library!$A$2:$A$401,$A61,Library!$G$2:$G$401,"Natural history study"))</f>
        <v/>
      </c>
      <c r="H61" s="17">
        <f>IF($A61="","",COUNTIFS(Library!$A$2:$A$401,$A61,Library!$G$2:$G$401,"Guideline / Consensus")+COUNTIFS(Library!$A$2:$A$401,$A61,Library!$G$2:$G$401,"Expert recommendation"))</f>
        <v/>
      </c>
      <c r="I61" s="17">
        <f>IF($A61="","",COUNTIFS(Library!$A$2:$A$401,$A61,Library!$AE$2:$AE$401,"Internal use only")+COUNTIFS(Library!$A$2:$A$401,$A61,Library!$AE$2:$AE$401,"Confidential"))</f>
        <v/>
      </c>
      <c r="J61" s="18">
        <f>IF($A61="","",IF(COUNTIFS(Library!$A$2:$A$401,$A61,Library!$Z$2:$Z$401,"&gt;0")=0,"",_xlfn.MINIFS(Library!$Z$2:$Z$401,Library!$A$2:$A$401,$A61)))</f>
        <v/>
      </c>
      <c r="K61" s="18">
        <f>IF($A61="","",IF(COUNTIFS(Library!$A$2:$A$401,$A61,Library!$Z$2:$Z$401,"&gt;0")=0,"",_xlfn.MAXIFS(Library!$Z$2:$Z$401,Library!$A$2:$A$401,$A61)))</f>
        <v/>
      </c>
    </row>
    <row r="62">
      <c r="A62" s="17">
        <f>IF(Products!$A$59="","",Products!$A$59)</f>
        <v/>
      </c>
      <c r="B62" s="17">
        <f>IF($A62="","",Products!$C$59)</f>
        <v/>
      </c>
      <c r="C62" s="17">
        <f>IF($A62="","",Products!$F$59)</f>
        <v/>
      </c>
      <c r="D62" s="17">
        <f>IF($A62="","",COUNTIFS(Library!$A$2:$A$401,$A62))</f>
        <v/>
      </c>
      <c r="E62" s="17">
        <f>IF($A62="","",COUNTIFS(Library!$A$2:$A$401,$A62,Library!$L$2:$L$401,"Yes"))</f>
        <v/>
      </c>
      <c r="F62" s="17">
        <f>IF($A62="","",COUNTIFS(Library!$A$2:$A$401,$A62,Library!$G$2:$G$401,"Clinical trial")+COUNTIFS(Library!$A$2:$A$401,$A62,Library!$G$2:$G$401,"Extension study"))</f>
        <v/>
      </c>
      <c r="G62" s="17">
        <f>IF($A62="","",COUNTIFS(Library!$A$2:$A$401,$A62,Library!$G$2:$G$401,"Registry / Real-world study")+COUNTIFS(Library!$A$2:$A$401,$A62,Library!$G$2:$G$401,"Natural history study"))</f>
        <v/>
      </c>
      <c r="H62" s="17">
        <f>IF($A62="","",COUNTIFS(Library!$A$2:$A$401,$A62,Library!$G$2:$G$401,"Guideline / Consensus")+COUNTIFS(Library!$A$2:$A$401,$A62,Library!$G$2:$G$401,"Expert recommendation"))</f>
        <v/>
      </c>
      <c r="I62" s="17">
        <f>IF($A62="","",COUNTIFS(Library!$A$2:$A$401,$A62,Library!$AE$2:$AE$401,"Internal use only")+COUNTIFS(Library!$A$2:$A$401,$A62,Library!$AE$2:$AE$401,"Confidential"))</f>
        <v/>
      </c>
      <c r="J62" s="18">
        <f>IF($A62="","",IF(COUNTIFS(Library!$A$2:$A$401,$A62,Library!$Z$2:$Z$401,"&gt;0")=0,"",_xlfn.MINIFS(Library!$Z$2:$Z$401,Library!$A$2:$A$401,$A62)))</f>
        <v/>
      </c>
      <c r="K62" s="18">
        <f>IF($A62="","",IF(COUNTIFS(Library!$A$2:$A$401,$A62,Library!$Z$2:$Z$401,"&gt;0")=0,"",_xlfn.MAXIFS(Library!$Z$2:$Z$401,Library!$A$2:$A$401,$A62)))</f>
        <v/>
      </c>
    </row>
    <row r="63">
      <c r="A63" s="17">
        <f>IF(Products!$A$60="","",Products!$A$60)</f>
        <v/>
      </c>
      <c r="B63" s="17">
        <f>IF($A63="","",Products!$C$60)</f>
        <v/>
      </c>
      <c r="C63" s="17">
        <f>IF($A63="","",Products!$F$60)</f>
        <v/>
      </c>
      <c r="D63" s="17">
        <f>IF($A63="","",COUNTIFS(Library!$A$2:$A$401,$A63))</f>
        <v/>
      </c>
      <c r="E63" s="17">
        <f>IF($A63="","",COUNTIFS(Library!$A$2:$A$401,$A63,Library!$L$2:$L$401,"Yes"))</f>
        <v/>
      </c>
      <c r="F63" s="17">
        <f>IF($A63="","",COUNTIFS(Library!$A$2:$A$401,$A63,Library!$G$2:$G$401,"Clinical trial")+COUNTIFS(Library!$A$2:$A$401,$A63,Library!$G$2:$G$401,"Extension study"))</f>
        <v/>
      </c>
      <c r="G63" s="17">
        <f>IF($A63="","",COUNTIFS(Library!$A$2:$A$401,$A63,Library!$G$2:$G$401,"Registry / Real-world study")+COUNTIFS(Library!$A$2:$A$401,$A63,Library!$G$2:$G$401,"Natural history study"))</f>
        <v/>
      </c>
      <c r="H63" s="17">
        <f>IF($A63="","",COUNTIFS(Library!$A$2:$A$401,$A63,Library!$G$2:$G$401,"Guideline / Consensus")+COUNTIFS(Library!$A$2:$A$401,$A63,Library!$G$2:$G$401,"Expert recommendation"))</f>
        <v/>
      </c>
      <c r="I63" s="17">
        <f>IF($A63="","",COUNTIFS(Library!$A$2:$A$401,$A63,Library!$AE$2:$AE$401,"Internal use only")+COUNTIFS(Library!$A$2:$A$401,$A63,Library!$AE$2:$AE$401,"Confidential"))</f>
        <v/>
      </c>
      <c r="J63" s="18">
        <f>IF($A63="","",IF(COUNTIFS(Library!$A$2:$A$401,$A63,Library!$Z$2:$Z$401,"&gt;0")=0,"",_xlfn.MINIFS(Library!$Z$2:$Z$401,Library!$A$2:$A$401,$A63)))</f>
        <v/>
      </c>
      <c r="K63" s="18">
        <f>IF($A63="","",IF(COUNTIFS(Library!$A$2:$A$401,$A63,Library!$Z$2:$Z$401,"&gt;0")=0,"",_xlfn.MAXIFS(Library!$Z$2:$Z$401,Library!$A$2:$A$401,$A63)))</f>
        <v/>
      </c>
    </row>
    <row r="64">
      <c r="A64" s="17">
        <f>IF(Products!$A$61="","",Products!$A$61)</f>
        <v/>
      </c>
      <c r="B64" s="17">
        <f>IF($A64="","",Products!$C$61)</f>
        <v/>
      </c>
      <c r="C64" s="17">
        <f>IF($A64="","",Products!$F$61)</f>
        <v/>
      </c>
      <c r="D64" s="17">
        <f>IF($A64="","",COUNTIFS(Library!$A$2:$A$401,$A64))</f>
        <v/>
      </c>
      <c r="E64" s="17">
        <f>IF($A64="","",COUNTIFS(Library!$A$2:$A$401,$A64,Library!$L$2:$L$401,"Yes"))</f>
        <v/>
      </c>
      <c r="F64" s="17">
        <f>IF($A64="","",COUNTIFS(Library!$A$2:$A$401,$A64,Library!$G$2:$G$401,"Clinical trial")+COUNTIFS(Library!$A$2:$A$401,$A64,Library!$G$2:$G$401,"Extension study"))</f>
        <v/>
      </c>
      <c r="G64" s="17">
        <f>IF($A64="","",COUNTIFS(Library!$A$2:$A$401,$A64,Library!$G$2:$G$401,"Registry / Real-world study")+COUNTIFS(Library!$A$2:$A$401,$A64,Library!$G$2:$G$401,"Natural history study"))</f>
        <v/>
      </c>
      <c r="H64" s="17">
        <f>IF($A64="","",COUNTIFS(Library!$A$2:$A$401,$A64,Library!$G$2:$G$401,"Guideline / Consensus")+COUNTIFS(Library!$A$2:$A$401,$A64,Library!$G$2:$G$401,"Expert recommendation"))</f>
        <v/>
      </c>
      <c r="I64" s="17">
        <f>IF($A64="","",COUNTIFS(Library!$A$2:$A$401,$A64,Library!$AE$2:$AE$401,"Internal use only")+COUNTIFS(Library!$A$2:$A$401,$A64,Library!$AE$2:$AE$401,"Confidential"))</f>
        <v/>
      </c>
      <c r="J64" s="18">
        <f>IF($A64="","",IF(COUNTIFS(Library!$A$2:$A$401,$A64,Library!$Z$2:$Z$401,"&gt;0")=0,"",_xlfn.MINIFS(Library!$Z$2:$Z$401,Library!$A$2:$A$401,$A64)))</f>
        <v/>
      </c>
      <c r="K64" s="18">
        <f>IF($A64="","",IF(COUNTIFS(Library!$A$2:$A$401,$A64,Library!$Z$2:$Z$401,"&gt;0")=0,"",_xlfn.MAXIFS(Library!$Z$2:$Z$401,Library!$A$2:$A$401,$A64)))</f>
        <v/>
      </c>
    </row>
    <row r="65">
      <c r="A65" s="19" t="inlineStr">
        <is>
          <t>All products</t>
        </is>
      </c>
      <c r="D65" s="20">
        <f>SUM(D5:D64)</f>
        <v/>
      </c>
      <c r="E65" s="20">
        <f>SUM(E5:E64)</f>
        <v/>
      </c>
      <c r="F65" s="20">
        <f>SUM(F5:F64)</f>
        <v/>
      </c>
      <c r="G65" s="20">
        <f>SUM(G5:G64)</f>
        <v/>
      </c>
      <c r="H65" s="20">
        <f>SUM(H5:H64)</f>
        <v/>
      </c>
      <c r="I65" s="20">
        <f>SUM(I5:I64)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32" customWidth="1" min="4" max="4"/>
    <col width="26" customWidth="1" min="5" max="5"/>
    <col width="16" customWidth="1" min="6" max="6"/>
    <col width="26" customWidth="1" min="7" max="7"/>
    <col width="44" customWidth="1" min="8" max="8"/>
  </cols>
  <sheetData>
    <row r="1">
      <c r="A1" s="9" t="inlineStr">
        <is>
          <t>Product</t>
        </is>
      </c>
      <c r="B1" s="9" t="inlineStr">
        <is>
          <t>Generic Name</t>
        </is>
      </c>
      <c r="C1" s="9" t="inlineStr">
        <is>
          <t>Therapy Area</t>
        </is>
      </c>
      <c r="D1" s="9" t="inlineStr">
        <is>
          <t>Indication</t>
        </is>
      </c>
      <c r="E1" s="9" t="inlineStr">
        <is>
          <t>Company</t>
        </is>
      </c>
      <c r="F1" s="9" t="inlineStr">
        <is>
          <t>Own / Competitor</t>
        </is>
      </c>
      <c r="G1" s="9" t="inlineStr">
        <is>
          <t>Status</t>
        </is>
      </c>
      <c r="H1" s="9" t="inlineStr">
        <is>
          <t>Notes</t>
        </is>
      </c>
    </row>
    <row r="2">
      <c r="A2" s="21" t="inlineStr">
        <is>
          <t>Vimizim</t>
        </is>
      </c>
      <c r="B2" s="21" t="inlineStr">
        <is>
          <t>elosulfase alfa</t>
        </is>
      </c>
      <c r="C2" s="21" t="inlineStr">
        <is>
          <t>MPS</t>
        </is>
      </c>
      <c r="D2" s="21" t="inlineStr">
        <is>
          <t>MPS IVA (Morquio A)</t>
        </is>
      </c>
      <c r="E2" s="21" t="inlineStr">
        <is>
          <t>BioMarin</t>
        </is>
      </c>
      <c r="F2" s="21" t="inlineStr">
        <is>
          <t>Own</t>
        </is>
      </c>
      <c r="G2" s="21" t="inlineStr">
        <is>
          <t>Approved</t>
        </is>
      </c>
      <c r="H2" s="21" t="n"/>
    </row>
    <row r="3">
      <c r="A3" s="21" t="inlineStr">
        <is>
          <t>Naglazyme</t>
        </is>
      </c>
      <c r="B3" s="21" t="inlineStr">
        <is>
          <t>galsulfase</t>
        </is>
      </c>
      <c r="C3" s="21" t="inlineStr">
        <is>
          <t>MPS</t>
        </is>
      </c>
      <c r="D3" s="21" t="inlineStr">
        <is>
          <t>MPS VI (Maroteaux-Lamy)</t>
        </is>
      </c>
      <c r="E3" s="21" t="inlineStr">
        <is>
          <t>BioMarin</t>
        </is>
      </c>
      <c r="F3" s="21" t="inlineStr">
        <is>
          <t>Own</t>
        </is>
      </c>
      <c r="G3" s="21" t="inlineStr">
        <is>
          <t>Approved</t>
        </is>
      </c>
      <c r="H3" s="21" t="n"/>
    </row>
    <row r="4">
      <c r="A4" s="21" t="inlineStr">
        <is>
          <t>Vimizim + Naglazyme</t>
        </is>
      </c>
      <c r="B4" s="21" t="inlineStr">
        <is>
          <t>elosulfase alfa / galsulfase</t>
        </is>
      </c>
      <c r="C4" s="21" t="inlineStr">
        <is>
          <t>MPS</t>
        </is>
      </c>
      <c r="D4" s="21" t="inlineStr">
        <is>
          <t>MPS IVA and MPS VI</t>
        </is>
      </c>
      <c r="E4" s="21" t="inlineStr">
        <is>
          <t>BioMarin</t>
        </is>
      </c>
      <c r="F4" s="21" t="inlineStr">
        <is>
          <t>Own</t>
        </is>
      </c>
      <c r="G4" s="21" t="inlineStr">
        <is>
          <t>Approved</t>
        </is>
      </c>
      <c r="H4" s="21" t="inlineStr">
        <is>
          <t>Use for references that cover both products</t>
        </is>
      </c>
    </row>
    <row r="5">
      <c r="A5" s="21" t="inlineStr">
        <is>
          <t>MPS (general)</t>
        </is>
      </c>
      <c r="B5" s="21" t="n"/>
      <c r="C5" s="21" t="inlineStr">
        <is>
          <t>MPS</t>
        </is>
      </c>
      <c r="D5" s="21" t="inlineStr">
        <is>
          <t>Mucopolysaccharidoses (several types)</t>
        </is>
      </c>
      <c r="E5" s="21" t="n"/>
      <c r="F5" s="21" t="inlineStr">
        <is>
          <t>N/A</t>
        </is>
      </c>
      <c r="G5" s="21" t="n"/>
      <c r="H5" s="21" t="inlineStr">
        <is>
          <t>Use for disease-level references not tied to one product</t>
        </is>
      </c>
    </row>
    <row r="6">
      <c r="A6" s="21" t="inlineStr">
        <is>
          <t>Brineura</t>
        </is>
      </c>
      <c r="B6" s="21" t="inlineStr">
        <is>
          <t>cerliponase alfa</t>
        </is>
      </c>
      <c r="C6" s="21" t="inlineStr">
        <is>
          <t>CLN2</t>
        </is>
      </c>
      <c r="D6" s="21" t="inlineStr">
        <is>
          <t>CLN2 disease (TPP1 deficiency)</t>
        </is>
      </c>
      <c r="E6" s="21" t="inlineStr">
        <is>
          <t>BioMarin</t>
        </is>
      </c>
      <c r="F6" s="21" t="inlineStr">
        <is>
          <t>Own</t>
        </is>
      </c>
      <c r="G6" s="21" t="inlineStr">
        <is>
          <t>Approved</t>
        </is>
      </c>
      <c r="H6" s="21" t="n"/>
    </row>
    <row r="7">
      <c r="A7" s="21" t="inlineStr">
        <is>
          <t>Voxzogo</t>
        </is>
      </c>
      <c r="B7" s="21" t="inlineStr">
        <is>
          <t>vosoritide</t>
        </is>
      </c>
      <c r="C7" s="21" t="inlineStr">
        <is>
          <t>Achondroplasia</t>
        </is>
      </c>
      <c r="D7" s="21" t="inlineStr">
        <is>
          <t>Achondroplasia</t>
        </is>
      </c>
      <c r="E7" s="21" t="inlineStr">
        <is>
          <t>BioMarin</t>
        </is>
      </c>
      <c r="F7" s="21" t="inlineStr">
        <is>
          <t>Own</t>
        </is>
      </c>
      <c r="G7" s="21" t="inlineStr">
        <is>
          <t>Approved</t>
        </is>
      </c>
      <c r="H7" s="21" t="n"/>
    </row>
    <row r="8">
      <c r="A8" s="21" t="inlineStr">
        <is>
          <t>Palynziq</t>
        </is>
      </c>
      <c r="B8" s="21" t="inlineStr">
        <is>
          <t>pegvaliase</t>
        </is>
      </c>
      <c r="C8" s="21" t="inlineStr">
        <is>
          <t>PKU</t>
        </is>
      </c>
      <c r="D8" s="21" t="inlineStr">
        <is>
          <t>Phenylketonuria</t>
        </is>
      </c>
      <c r="E8" s="21" t="inlineStr">
        <is>
          <t>BioMarin</t>
        </is>
      </c>
      <c r="F8" s="21" t="inlineStr">
        <is>
          <t>Own</t>
        </is>
      </c>
      <c r="G8" s="21" t="inlineStr">
        <is>
          <t>Approved</t>
        </is>
      </c>
      <c r="H8" s="21" t="n"/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</row>
  </sheetData>
  <dataValidations count="2">
    <dataValidation sqref="C2:C61" showDropDown="0" showInputMessage="0" showErrorMessage="0" allowBlank="1" type="list">
      <formula1>=Lists!$A$2:$A$20</formula1>
    </dataValidation>
    <dataValidation sqref="F2:F61" showDropDown="0" showInputMessage="0" showErrorMessage="0" allowBlank="1" type="list">
      <formula1>=Lists!$F$2:$F$20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4" customWidth="1" min="8" max="8"/>
  </cols>
  <sheetData>
    <row r="1">
      <c r="A1" s="9" t="inlineStr">
        <is>
          <t>Therapy Area</t>
        </is>
      </c>
      <c r="B1" s="9" t="inlineStr">
        <is>
          <t>Record Type</t>
        </is>
      </c>
      <c r="C1" s="9" t="inlineStr">
        <is>
          <t>Phase</t>
        </is>
      </c>
      <c r="D1" s="9" t="inlineStr">
        <is>
          <t>Pivotal</t>
        </is>
      </c>
      <c r="E1" s="9" t="inlineStr">
        <is>
          <t>Status</t>
        </is>
      </c>
      <c r="F1" s="9" t="inlineStr">
        <is>
          <t>Own / Competitor</t>
        </is>
      </c>
      <c r="G1" s="9" t="inlineStr">
        <is>
          <t>Confidentiality</t>
        </is>
      </c>
      <c r="H1" s="9" t="inlineStr">
        <is>
          <t>Study Design</t>
        </is>
      </c>
    </row>
    <row r="2">
      <c r="A2" s="22" t="inlineStr">
        <is>
          <t>MPS</t>
        </is>
      </c>
      <c r="B2" s="22" t="inlineStr">
        <is>
          <t>Clinical trial</t>
        </is>
      </c>
      <c r="C2" s="22" t="inlineStr">
        <is>
          <t>Phase 1</t>
        </is>
      </c>
      <c r="D2" s="22" t="inlineStr">
        <is>
          <t>Yes</t>
        </is>
      </c>
      <c r="E2" s="22" t="inlineStr">
        <is>
          <t>Not yet recruiting</t>
        </is>
      </c>
      <c r="F2" s="22" t="inlineStr">
        <is>
          <t>Own</t>
        </is>
      </c>
      <c r="G2" s="22" t="inlineStr">
        <is>
          <t>Public</t>
        </is>
      </c>
      <c r="H2" s="22" t="inlineStr">
        <is>
          <t>Randomized, double-blind, placebo-controlled</t>
        </is>
      </c>
    </row>
    <row r="3">
      <c r="A3" s="22" t="inlineStr">
        <is>
          <t>CLN2</t>
        </is>
      </c>
      <c r="B3" s="22" t="inlineStr">
        <is>
          <t>Extension study</t>
        </is>
      </c>
      <c r="C3" s="22" t="inlineStr">
        <is>
          <t>Phase 1/2</t>
        </is>
      </c>
      <c r="D3" s="22" t="inlineStr">
        <is>
          <t>No</t>
        </is>
      </c>
      <c r="E3" s="22" t="inlineStr">
        <is>
          <t>Recruiting</t>
        </is>
      </c>
      <c r="F3" s="22" t="inlineStr">
        <is>
          <t>Competitor</t>
        </is>
      </c>
      <c r="G3" s="22" t="inlineStr">
        <is>
          <t>Internal use only</t>
        </is>
      </c>
      <c r="H3" s="22" t="inlineStr">
        <is>
          <t>Randomized, double-blind (dose comparison)</t>
        </is>
      </c>
    </row>
    <row r="4">
      <c r="A4" s="22" t="inlineStr">
        <is>
          <t>Achondroplasia</t>
        </is>
      </c>
      <c r="B4" s="22" t="inlineStr">
        <is>
          <t>Natural history study</t>
        </is>
      </c>
      <c r="C4" s="22" t="inlineStr">
        <is>
          <t>Phase 2</t>
        </is>
      </c>
      <c r="E4" s="22" t="inlineStr">
        <is>
          <t>Active, not recruiting</t>
        </is>
      </c>
      <c r="F4" s="22" t="inlineStr">
        <is>
          <t>N/A</t>
        </is>
      </c>
      <c r="G4" s="22" t="inlineStr">
        <is>
          <t>Confidential</t>
        </is>
      </c>
      <c r="H4" s="22" t="inlineStr">
        <is>
          <t>Randomized, open-label</t>
        </is>
      </c>
    </row>
    <row r="5">
      <c r="A5" s="22" t="inlineStr">
        <is>
          <t>PKU</t>
        </is>
      </c>
      <c r="B5" s="22" t="inlineStr">
        <is>
          <t>Registry / Real-world study</t>
        </is>
      </c>
      <c r="C5" s="22" t="inlineStr">
        <is>
          <t>Phase 2/3</t>
        </is>
      </c>
      <c r="E5" s="22" t="inlineStr">
        <is>
          <t>Completed</t>
        </is>
      </c>
      <c r="H5" s="22" t="inlineStr">
        <is>
          <t>Single-arm, open-label</t>
        </is>
      </c>
    </row>
    <row r="6">
      <c r="B6" s="22" t="inlineStr">
        <is>
          <t>Guideline / Consensus</t>
        </is>
      </c>
      <c r="C6" s="22" t="inlineStr">
        <is>
          <t>Phase 3</t>
        </is>
      </c>
      <c r="E6" s="22" t="inlineStr">
        <is>
          <t>Terminated</t>
        </is>
      </c>
      <c r="H6" s="22" t="inlineStr">
        <is>
          <t>Open-label extension</t>
        </is>
      </c>
    </row>
    <row r="7">
      <c r="B7" s="22" t="inlineStr">
        <is>
          <t>Expert recommendation</t>
        </is>
      </c>
      <c r="C7" s="22" t="inlineStr">
        <is>
          <t>Phase 4</t>
        </is>
      </c>
      <c r="E7" s="22" t="inlineStr">
        <is>
          <t>Withdrawn</t>
        </is>
      </c>
      <c r="H7" s="22" t="inlineStr">
        <is>
          <t>Single-patient / case report</t>
        </is>
      </c>
    </row>
    <row r="8">
      <c r="B8" s="22" t="inlineStr">
        <is>
          <t>Review</t>
        </is>
      </c>
      <c r="C8" s="22" t="inlineStr">
        <is>
          <t>Not applicable</t>
        </is>
      </c>
      <c r="E8" s="22" t="inlineStr">
        <is>
          <t>Suspended</t>
        </is>
      </c>
      <c r="H8" s="22" t="inlineStr">
        <is>
          <t>Observational / Registry</t>
        </is>
      </c>
    </row>
    <row r="9">
      <c r="B9" s="22" t="inlineStr">
        <is>
          <t>Internal material</t>
        </is>
      </c>
      <c r="E9" s="22" t="inlineStr">
        <is>
          <t>Published</t>
        </is>
      </c>
      <c r="H9" s="22" t="inlineStr">
        <is>
          <t>Delphi / expert panel</t>
        </is>
      </c>
    </row>
    <row r="10">
      <c r="E10" s="22" t="inlineStr">
        <is>
          <t>Unknown</t>
        </is>
      </c>
      <c r="H10" s="22" t="inlineStr">
        <is>
          <t>Other</t>
        </is>
      </c>
    </row>
    <row r="22">
      <c r="A22" s="16" t="inlineStr">
        <is>
          <t>Edit these lists to change the dropdown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2026-09-28T13:31:10Z</dcterms:created>
  <dcterms:modified xsi:type="dcterms:W3CDTF">2026-09-28T13:31:11Z</dcterms:modified>
</cp:coreProperties>
</file>