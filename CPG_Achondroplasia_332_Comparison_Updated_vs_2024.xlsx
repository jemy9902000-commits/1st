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ide-by-Side Comparison" sheetId="2" state="visible" r:id="rId4"/>
    <sheet name="Dosing Table 12.1" sheetId="3" state="visible" r:id="rId5"/>
    <sheet name="Monitoring Schedule" sheetId="4" state="visible" r:id="rId6"/>
    <sheet name="References" sheetId="5" state="visible" r:id="rId7"/>
  </sheets>
  <definedNames>
    <definedName function="false" hidden="false" localSheetId="1" name="_xlnm.Print_Titles" vbProcedure="false">'Side-by-Side Comparison'!$3:$4</definedName>
    <definedName function="false" hidden="true" localSheetId="1" name="_xlnm._FilterDatabase" vbProcedure="false">'Side-by-Side Comparison'!$A$4:$H$78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<sst xmlns="http://schemas.openxmlformats.org/spreadsheetml/2006/main" count="1006" uniqueCount="568">
  <si>
    <t xml:space="preserve">CPG/DMT-A/332 – Guidelines for the Diagnosis, Management and Treatment of Children with Achondroplasia</t>
  </si>
  <si>
    <t xml:space="preserve">Comparison of the updated draft against the 2024 version</t>
  </si>
  <si>
    <t xml:space="preserve">Updated version (left side)</t>
  </si>
  <si>
    <t xml:space="preserve">Manual-CPG Achondroplasia 332 (.docx). Draft, effective / revision dates not yet filled in.</t>
  </si>
  <si>
    <t xml:space="preserve">Old version (right side)</t>
  </si>
  <si>
    <t xml:space="preserve">Manua-CPG Achondroplasia 332 (PDF). Effective 27/08/24, revision due 26/08/26.</t>
  </si>
  <si>
    <t xml:space="preserve">Main sources of change</t>
  </si>
  <si>
    <t xml:space="preserve">EU SmPC rev. 10/2023 (ref 6), FDA all-ages approval Oct 2023 (ref 11), Middle East consensus 2026 (ref 12), international vosoritide consensus 2025 (ref 13).</t>
  </si>
  <si>
    <t xml:space="preserve">Change count (live from the sheets)</t>
  </si>
  <si>
    <t xml:space="preserve">Status</t>
  </si>
  <si>
    <t xml:space="preserve">Main text</t>
  </si>
  <si>
    <t xml:space="preserve">Dosing table</t>
  </si>
  <si>
    <t xml:space="preserve">Monitoring</t>
  </si>
  <si>
    <t xml:space="preserve">References</t>
  </si>
  <si>
    <t xml:space="preserve">Meaning</t>
  </si>
  <si>
    <t xml:space="preserve">New</t>
  </si>
  <si>
    <t xml:space="preserve">Added in the update. Not in 2024.</t>
  </si>
  <si>
    <t xml:space="preserve">Modified</t>
  </si>
  <si>
    <t xml:space="preserve">In both versions, but the content changed.</t>
  </si>
  <si>
    <t xml:space="preserve">Removed</t>
  </si>
  <si>
    <t xml:space="preserve">In 2024, dropped from the update.</t>
  </si>
  <si>
    <t xml:space="preserve">Unchanged</t>
  </si>
  <si>
    <t xml:space="preserve">Same in both versions.</t>
  </si>
  <si>
    <t xml:space="preserve">Renumbered</t>
  </si>
  <si>
    <t xml:space="preserve">Same content, new number (references only).</t>
  </si>
  <si>
    <t xml:space="preserve">Total</t>
  </si>
  <si>
    <t xml:space="preserve">Key changes at a glance</t>
  </si>
  <si>
    <t xml:space="preserve">Indication updated (5.3.1): EU label now starts at 4 months (was 2 years). FDA now covers all ages with open growth plates (was 5 years and over).</t>
  </si>
  <si>
    <t xml:space="preserve">Stopping rule changed (5.4): was AGV &lt;1.5 cm after 1 year OR closed plates. Now AGV &lt;1.5 cm/year AND radiologically closed plates. In practice, treatment will run longer.</t>
  </si>
  <si>
    <t xml:space="preserve">Exclusion list shortened (5.3.3): the 'poor response after 1 year' and 'non-compliant' exclusions were dropped.</t>
  </si>
  <si>
    <t xml:space="preserve">New 5.3.5 'Dose, units and administration' (from the SmPC): µg/kg range, mL↔Units, weight-band review every 3–6 months, missed-dose rule, site rotation, caregiver training, and a first dose in clinic with ~1 h observation.</t>
  </si>
  <si>
    <t xml:space="preserve">Dosing table 12.1 now starts at 4 kg (was 10 kg). This closes a real gap for infants under 10 kg. Doses at 10 kg and above are the same.</t>
  </si>
  <si>
    <t xml:space="preserve">Hypotension advice aligned with the SmPC: light snack + fluids about 30 minutes before the injection (was a meal + 8–10 oz within 1 hour).</t>
  </si>
  <si>
    <t xml:space="preserve">New safety text: hypersensitivity contraindication, avoid in pregnancy and breast-feeding, no driving/cycling for 60 minutes after the injection.</t>
  </si>
  <si>
    <t xml:space="preserve">Monitoring restructured: new baseline checklist (5.5.4, 8 domains) and an age-based follow-up table (5.5.5). Infants (0–2 y) are now seen every 3 months.</t>
  </si>
  <si>
    <t xml:space="preserve">New content from the Middle East consensus: prenatal diagnosis (5.1 D), routine infant craniocervical MRI and polysomnography, a formal MDT with a care coordinator, shared decision-making, QoL tools and a transition clinic.</t>
  </si>
  <si>
    <t xml:space="preserve">References grew from 11 to 19: 9 new sources added (2023–2026), one duplicate removed, and the SmPC citation now in full.</t>
  </si>
  <si>
    <t xml:space="preserve">Points for the committee before sign-off</t>
  </si>
  <si>
    <t xml:space="preserve">Delete the old 2024 dosing table (still shown in red in the draft) so there's only one dosing table in the final document.</t>
  </si>
  <si>
    <t xml:space="preserve">Bring appendix 11.20 in line with the new 5.5.5 schedule, or point 5.5 to 5.5.5. Right now they give different visit intervals for infants.</t>
  </si>
  <si>
    <t xml:space="preserve">Confirm on purpose that a child who isn't responding (AGV &lt;1.5 cm/year) but still has open growth plates should keep going. The old one-year non-responder rule is gone, and nothing replaces it.</t>
  </si>
  <si>
    <t xml:space="preserve">Concomitant medications and vitamin D no longer have a follow-up interval. Consider adding both to the 5.5.5 table.</t>
  </si>
  <si>
    <t xml:space="preserve">Refs 4 and 5 are still in the list but aren't cited any more, and they describe the old age limits. Consider removing them. Ref 10 (chegg.com) isn't a peer-reviewed source.</t>
  </si>
  <si>
    <t xml:space="preserve">Update the clinical algorithm (section 6) to show the prenatal pathway, infant MRI and sleep-study screening, and the shared decision-making step.</t>
  </si>
  <si>
    <t xml:space="preserve">Fill in the CPG history (replaces the 2024 version, new effective and revision dates) and the approval signature dates.</t>
  </si>
  <si>
    <t xml:space="preserve">Fix two typos carried over from 2024: 'dipropionate' → 'disproportionate' (2.1), and 'Legible' → 'Eligible' (5.3.2 a).</t>
  </si>
  <si>
    <t xml:space="preserve">Check service capacity before go-live: routine infant MRI and polysomnography, first-dose observation slots, and specialist-nurse training for caregivers.</t>
  </si>
  <si>
    <t xml:space="preserve">How to read this workbook</t>
  </si>
  <si>
    <t xml:space="preserve">Side-by-Side Comparison</t>
  </si>
  <si>
    <t xml:space="preserve">The full guideline, section by section. Updated text on the left, 2024 text on the right, comparison columns at the end. Filter the Status column to see only what changed.</t>
  </si>
  <si>
    <t xml:space="preserve">Dosing Table 12.1</t>
  </si>
  <si>
    <t xml:space="preserve">Weight bands in the new and old tables, lined up side by side.</t>
  </si>
  <si>
    <t xml:space="preserve">Monitoring Schedule</t>
  </si>
  <si>
    <t xml:space="preserve">The new 5.5.5 follow-up table against the 2024 appendix 11.20 timings.</t>
  </si>
  <si>
    <t xml:space="preserve">Both reference lists lined up: added, removed, renumbered, and where each is cited.</t>
  </si>
  <si>
    <t xml:space="preserve">Colour key: blue = updated version · brown/peach = 2024 version · pink = new · yellow = modified · red = removed · green = unchanged · light blue = renumbered.</t>
  </si>
  <si>
    <t xml:space="preserve">CPG/DMT-A/332 – Achondroplasia: Updated version vs 2024 version</t>
  </si>
  <si>
    <t xml:space="preserve">Left = UPDATED draft (Manual-CPG Achondroplasia 332, .docx). Right = OLD version (Manua-CPG Achondroplasia 332, PDF, effective 27/08/24). Comparison columns explain what changed and why it matters. Use the filter on 'Status' to show only New / Modified / Removed items.</t>
  </si>
  <si>
    <t xml:space="preserve">UPDATED VERSION (draft)</t>
  </si>
  <si>
    <t xml:space="preserve">OLD VERSION (2024)</t>
  </si>
  <si>
    <t xml:space="preserve">COMPARISON</t>
  </si>
  <si>
    <t xml:space="preserve">Section
(updated)</t>
  </si>
  <si>
    <t xml:space="preserve">Topic</t>
  </si>
  <si>
    <t xml:space="preserve">Updated text</t>
  </si>
  <si>
    <t xml:space="preserve">Old text (2024)</t>
  </si>
  <si>
    <t xml:space="preserve">Section
(old)</t>
  </si>
  <si>
    <t xml:space="preserve">What changed / why it matters</t>
  </si>
  <si>
    <t xml:space="preserve">References
(old → new)</t>
  </si>
  <si>
    <t xml:space="preserve">1. Introduction &amp; 2. Definitions</t>
  </si>
  <si>
    <t xml:space="preserve">1</t>
  </si>
  <si>
    <t xml:space="preserve">Introduction</t>
  </si>
  <si>
    <t xml:space="preserve">Achondroplasia is the most common form of skeletal dysplasia. It's inherited as a Mendelian autosomal dominant trait with complete penetrance. Approximately 80% of cases are due to a new (de novo) dominant mutation. The frequency is believed to be 1 case per 15,000-40,000 births worldwide, with an average worldwide frequency of 1 in 25,000 live births. (1) The prevalence of Achondroplasia is 1:26,000-1:28,000 live births. (2) The condition is caused by a common, recurring, gain-of-function mutation in FGFR3, the gene that encodes fibroblast growth factor receptor 3. This mutation leads to impaired endochondral ossification of the human skeleton. (3)
• Average adult height 4 feet.
• Male average adult height 131 ± 5.6 cm.
• Female average adult height 124 ± 5.9 cm.</t>
  </si>
  <si>
    <t xml:space="preserve">Word-for-word the same as 2024.</t>
  </si>
  <si>
    <t xml:space="preserve">Refs 1–3 (same in both)</t>
  </si>
  <si>
    <t xml:space="preserve">2.1</t>
  </si>
  <si>
    <t xml:space="preserve">Definition – Achondroplasia</t>
  </si>
  <si>
    <t xml:space="preserve">Achondroplasia: is the most common dipropionate short stature characterized by a variety of medical, functional, and psychosocial challenges across the lifespan that require care from a multidisciplinary team. Affected individuals have rhizomelic shortening of the limbs, macrocephaly, and characteristic facial features with frontal bossing and midface retrusion. In infancy, hypotonia is typical, and acquisition of developmental motor milestones is often both aberrant in pattern and delayed. Intelligence and life span are usually near normal, although craniocervical junction compression increases the risk of death in infancy. Additional complications include obstructive sleep apnea, middle ear dysfunction, kyphosis, and spinal stenosis. (2,3)</t>
  </si>
  <si>
    <t xml:space="preserve">Same text. Typo carried over from 2024: "dipropionate" should read "disproportionate".</t>
  </si>
  <si>
    <t xml:space="preserve">Refs 2,3</t>
  </si>
  <si>
    <t xml:space="preserve">2.2</t>
  </si>
  <si>
    <t xml:space="preserve">Definition – Trident hand</t>
  </si>
  <si>
    <t xml:space="preserve">Trident hand: The hand with increased distance between the 3rd and 4th fingers.</t>
  </si>
  <si>
    <t xml:space="preserve">—</t>
  </si>
  <si>
    <t xml:space="preserve">2.3</t>
  </si>
  <si>
    <t xml:space="preserve">Definition – AGV</t>
  </si>
  <si>
    <t xml:space="preserve">AGV (Annualized Growth Velocity) refers to the equivalent average rate of growth per annum that will give us the same growth rate as that observed over the entire time span.</t>
  </si>
  <si>
    <t xml:space="preserve">3. Scope &amp; Purpose  |  4. Target Population</t>
  </si>
  <si>
    <t xml:space="preserve">3</t>
  </si>
  <si>
    <t xml:space="preserve">Scope and purpose</t>
  </si>
  <si>
    <t xml:space="preserve">Scope: This Guidelines is designed for the diagnosis and management of pediatric cases in KSMC who are suspected and diagnosed to have achondroplasia.
Purpose:
• To have a basic Guidelines for the geneticist, pediatric endocrinologist, and other multidisciplinary healthcare providers.
• To standardize the diagnosis and management for the affected children with Achondroplasia.</t>
  </si>
  <si>
    <t xml:space="preserve">4</t>
  </si>
  <si>
    <t xml:space="preserve">Target population</t>
  </si>
  <si>
    <t xml:space="preserve">• Suspected cases with achondroplasia from age 0-18 years.
• Achondroplasia cases who are eligible for Vosoritide treatment from 4 months to 10 years of age.
• Achondroplasia cases already on treatment.</t>
  </si>
  <si>
    <t xml:space="preserve">Treatment window kept at 4 months–10 years. Worth noting that 5.3.1 now quotes the FDA approval for all ages with open growth plates, so the local 10-year cut-off is a KSMC policy choice rather than a label limit – the committee may want to state that explicitly.</t>
  </si>
  <si>
    <t xml:space="preserve">5.1 Diagnostic Method</t>
  </si>
  <si>
    <t xml:space="preserve">5.1 A</t>
  </si>
  <si>
    <t xml:space="preserve">Clinical findings</t>
  </si>
  <si>
    <t xml:space="preserve">Figure retained: disproportionate short stature, short fingers, trident hand.</t>
  </si>
  <si>
    <t xml:space="preserve">Figure: disproportionate short stature, short fingers, trident hand.</t>
  </si>
  <si>
    <t xml:space="preserve">Same images.</t>
  </si>
  <si>
    <t xml:space="preserve">5.1 B</t>
  </si>
  <si>
    <t xml:space="preserve">Radiological</t>
  </si>
  <si>
    <t xml:space="preserve">Radiological figure retained (lumbar inter-pediculate narrowing, square iliac wings, narrow sciatic notches, thoracolumbar kyphosis, short tubular bones with metaphyseal widening, trident hand, frontal bossing / small skull base).</t>
  </si>
  <si>
    <t xml:space="preserve">Same radiological figure.</t>
  </si>
  <si>
    <t xml:space="preserve">5.1 C</t>
  </si>
  <si>
    <t xml:space="preserve">Molecular testing</t>
  </si>
  <si>
    <t xml:space="preserve">• Targeted gene testing for the FGFR3 (Fibroblast growth factor receptor3) gene.</t>
  </si>
  <si>
    <t xml:space="preserve">5.1 D</t>
  </si>
  <si>
    <t xml:space="preserve">Prenatal diagnosis (NEW sub-section)</t>
  </si>
  <si>
    <t xml:space="preserve">Prenatal diagnosis by ultrasound and molecular testing should be offered when there is clinical suspicion or a positive family history; typical ultrasound features (rhizomelic limb shortening, macrocephaly with frontal bossing and midface hypoplasia) often become apparent after 24 weeks of gestation. Counselling should be clear and non-directive, providing balanced, evidence-based information, including education on safe positioning and handling of infants with achondroplasia. Parents who receive a prenatal diagnosis should be offered early psychological support and education (12).</t>
  </si>
  <si>
    <t xml:space="preserve">— Not addressed in this version —</t>
  </si>
  <si>
    <t xml:space="preserve">Brand-new sub-section. Brings in the prenatal pathway: when to offer US + molecular testing, the &gt;24-week timing of US signs, non-directive counselling, and early psychological support for parents.</t>
  </si>
  <si>
    <t xml:space="preserve">New ref 12 (Middle East consensus 2026)</t>
  </si>
  <si>
    <t xml:space="preserve">5.2 Multi-System Co-Morbidities</t>
  </si>
  <si>
    <t xml:space="preserve">5.2</t>
  </si>
  <si>
    <t xml:space="preserve">Co-morbidities figure</t>
  </si>
  <si>
    <t xml:space="preserve">Figure retained: ENT, cardiopulmonary, extremities, nervous system, back, obesity.</t>
  </si>
  <si>
    <t xml:space="preserve">Figure: ENT (otitis media, hearing loss, dental malocclusion); cardiopulmonary (sleep-disordered breathing, CVD); extremities; nervous system (foramen magnum stenosis, hydrocephalus, cervicomedullary compression); back; obesity.</t>
  </si>
  <si>
    <t xml:space="preserve">Same figure.</t>
  </si>
  <si>
    <t xml:space="preserve">Screening in infancy (NEW)</t>
  </si>
  <si>
    <t xml:space="preserve">Screening in infancy: where available and clinically feasible, MRI of the craniocervical junction should be offered routinely in early infancy to screen for foramen magnum stenosis, with reports using standardised radiological scoring systems. Polysomnography should be performed routinely to detect sleep-disordered breathing, including central sleep apnoea, which may not be reliably identified on clinical assessment alone. Where these services are limited, clinicians should keep a low threshold for referral to a specialist centre. Regular screening and surveillance should continue for foramen magnum stenosis, sleep apnoea, ENT problems, neurological issues, orthopaedic complications and obesity (12).</t>
  </si>
  <si>
    <t xml:space="preserve">Not stated as a recommendation. The 2024 version only showed the co-morbidity figure; MRI brain / whole-spine MRI appeared only inside the clinical algorithm (section 6).</t>
  </si>
  <si>
    <t xml:space="preserve">5.2 / 6</t>
  </si>
  <si>
    <t xml:space="preserve">Moves from "show the risks" to "actively screen": routine craniocervical MRI and routine polysomnography in infancy, with standardised MRI scoring and a referral route when local services are limited. Resource impact (MRI + sleep-lab capacity) should be checked.</t>
  </si>
  <si>
    <t xml:space="preserve">New ref 12</t>
  </si>
  <si>
    <t xml:space="preserve">Multidisciplinary care (NEW)</t>
  </si>
  <si>
    <t xml:space="preserve">Multidisciplinary care: management should involve a multidisciplinary team, ideally including a paediatric endocrinologist, geneticist, orthopaedic surgeon, pulmonologist (for sleep studies), neurologist/neurosurgeon, physiotherapist, dentist/orthodontist, audiologist, psychologist, dietitian and occupational therapist. A multidisciplinary care coordinator or lead clinician should be designated to ensure continuous care, effective communication and follow-up across specialties. Surgical interventions should only be performed by clinicians with expertise in achondroplasia, with decisions made in conjunction with the multidisciplinary team (12).</t>
  </si>
  <si>
    <t xml:space="preserve">MDT listed only in the algorithm box: ENT, sleep-apnea specialist, orthodontist, orthopedic, spinal surgery, neurosurgery, dietitian, physiotherapy.</t>
  </si>
  <si>
    <t xml:space="preserve">6 (algorithm)</t>
  </si>
  <si>
    <t xml:space="preserve">MDT is now a formal recommendation. Adds pulmonologist, neurologist, dentist, audiologist, psychologist and occupational therapist; requires a named care coordinator / lead clinician; restricts surgery to clinicians with achondroplasia expertise.</t>
  </si>
  <si>
    <t xml:space="preserve">5.3 Treatment – Vosoritide</t>
  </si>
  <si>
    <t xml:space="preserve">5.3.1</t>
  </si>
  <si>
    <t xml:space="preserve">Vosoritide "Voxzogo" – indication</t>
  </si>
  <si>
    <t xml:space="preserve">The first and only therapy approved to increase linear growth in children with achondroplasia is called Vosoritide "Voxzogo". In the European Union, vosoritide is indicated for the treatment of achondroplasia in patients 4 months of age and older whose epiphyses are not closed, (6) and the US FDA has approved it (October 2023) to increase linear growth in paediatric patients of all ages with achondroplasia and open epiphyses. (11) Vosoritide is given as a single daily dose of subcutaneous injection to prevent the inhibition of chondrocyte mineralization resulting from FGFR3 mutation and allows linear bone growth. Treatment should be initiated and directed by a physician appropriately qualified in the management of growth disorders or skeletal dysplasias. Safety and efficacy data in children younger than 4 months are limited, and no posology recommendation can be made for this group (6).</t>
  </si>
  <si>
    <t xml:space="preserve">The first and only therapy approved to increase linear growth in children with achondroplasia is called Vosoritide "Voxzogo". In the European Union, vosoritide is indicated for the treatment of achondroplasia in children 2 years of age and older whose epiphyses are not closed, (4,5) and for children with achondroplasia 5 years and older by the American FDA. (6) Vosoritide is given as a single daily dose of subcutaneous injection to prevent the inhibition of chondrocyte mineralization resulting from FGFR3 mutation and allows linear bone growth. The diagnosis of achondroplasia should be confirmed by appropriate genetic testing.</t>
  </si>
  <si>
    <t xml:space="preserve">• EU indication: from 2 years → from 4 months.
• FDA indication: 5 years and older → all ages with open epiphyses (Oct 2023).
• Added: treatment must be started and directed by a physician qualified in growth disorders / skeletal dysplasia.
• Added: no dosing recommendation below 4 months.
• Removed: the sentence "diagnosis should be confirmed by appropriate genetic testing" (still required under 5.3.2 inclusion, so the intent survives).
Note: the 2024 text was internally inconsistent (label from 2 y but local start from 4 months) – the update fixes this.</t>
  </si>
  <si>
    <t xml:space="preserve">Old (4,5) &amp; (6) → New (6) SmPC &amp; (11) FDA release</t>
  </si>
  <si>
    <t xml:space="preserve">5.3.2</t>
  </si>
  <si>
    <t xml:space="preserve">Inclusion – follow-up &amp; start age</t>
  </si>
  <si>
    <t xml:space="preserve">• Follow up of achondroplasia cases aged 0-18 years whose clinical and radiological finding go with Achondroplasia.
• Vosoritide treatment will be started for selected cases from 4 months to 10 years of age whose diagnosis had been confirmed by molecular testing, since the earlier the start of treatment (≤10 years of age) the better the outcome.</t>
  </si>
  <si>
    <t xml:space="preserve">Inclusion – treatment indicated for (a, c, d)</t>
  </si>
  <si>
    <t xml:space="preserve">a) Legible children for expensive treatment of achondroplasia (Saudi nationality).
c) Achondroplasia children with normal cognitive function.
d) Compliant to treatment.</t>
  </si>
  <si>
    <t xml:space="preserve">Same. Typo carried over: "Legible" should read "Eligible".</t>
  </si>
  <si>
    <t xml:space="preserve">5.3.2 b</t>
  </si>
  <si>
    <t xml:space="preserve">Inclusion – duration of treatment</t>
  </si>
  <si>
    <t xml:space="preserve">b) Achondroplasia cases from 4 months to 10 years of age and to be continued up to 18 years of age or until the stopping criteria in 5.4 are met, regardless of gender.</t>
  </si>
  <si>
    <t xml:space="preserve">b) Achondroplasia cases from 4 months to 10 years of age and to be continued up to 18 years of age or until AGV is &lt;1.5 cm, regardless of gender.</t>
  </si>
  <si>
    <t xml:space="preserve">"until AGV is &lt;1.5 cm" replaced by a cross-reference to the stopping criteria in 5.4, so there is now one single stopping rule in the document.</t>
  </si>
  <si>
    <t xml:space="preserve">Considerations to identify patients (figure)</t>
  </si>
  <si>
    <t xml:space="preserve">Figure retained.</t>
  </si>
  <si>
    <t xml:space="preserve">Figure: genetically confirmed achondroplasia; open growth plates; age of patient; evidence of compliance with medical care; comprehensive assessment at initial encounter to follow-up; patient &amp; family willingness to commit to daily injections, regular follow-up, frequent communication with the team and prompt reporting of side effects.</t>
  </si>
  <si>
    <t xml:space="preserve">5.3.3 (1)</t>
  </si>
  <si>
    <t xml:space="preserve">Exclusion – age &gt;10 y at diagnosis</t>
  </si>
  <si>
    <t xml:space="preserve">1. Vosoritide treatment will not be applicable for Achondroplasia cases who already &gt; 10 years at the time of the diagnosis.</t>
  </si>
  <si>
    <t xml:space="preserve">Exclusion – poor response after 1 year</t>
  </si>
  <si>
    <t xml:space="preserve">Removed from the exclusion list.</t>
  </si>
  <si>
    <t xml:space="preserve">2. Achondroplasia cases whose annual growth velocity is &lt; 1.5 cm after completing one year of vosoritide treatment.</t>
  </si>
  <si>
    <t xml:space="preserve">5.3.3 (2)</t>
  </si>
  <si>
    <t xml:space="preserve">Clinically important. In 2024 a child with AGV &lt;1.5 cm after one year on treatment was excluded (non-responder rule). This is no longer in the exclusion list, and the new stopping rule in 5.4 needs BOTH low AGV and closed growth plates. Net effect: there is no longer an explicit rule to stop a non-responder whose growth plates are still open. Committee should confirm this is intended.</t>
  </si>
  <si>
    <t xml:space="preserve">Exclusion – neurological insult</t>
  </si>
  <si>
    <t xml:space="preserve">2. Achondroplasia cases who sustained significant neurological insult that affect their cognitive function.</t>
  </si>
  <si>
    <t xml:space="preserve">3. Achondroplasia cases who sustained significant neurological insult that affect their cognitive function.</t>
  </si>
  <si>
    <t xml:space="preserve">5.3.3 (3)</t>
  </si>
  <si>
    <t xml:space="preserve">Same wording, renumbered 3 → 2.</t>
  </si>
  <si>
    <t xml:space="preserve">Exclusion – non-compliance</t>
  </si>
  <si>
    <t xml:space="preserve">4. Achondroplasia cases who are not compliant to treatment.</t>
  </si>
  <si>
    <t xml:space="preserve">5.3.3 (4)</t>
  </si>
  <si>
    <t xml:space="preserve">Dropped as an exclusion. Compliance is still an inclusion requirement (5.3.2 d), so it's partly covered – but there's no longer an explicit rule for what happens if a patient becomes non-compliant on treatment.</t>
  </si>
  <si>
    <t xml:space="preserve">Exclusion – no regular MDT follow-up</t>
  </si>
  <si>
    <t xml:space="preserve">3. Achondroplasia cases who don't attend regular follow up of the multidisciplinary team care.</t>
  </si>
  <si>
    <t xml:space="preserve">5. Achondroplasia cases who don't attend regular follow up of the multidisciplinary team care.</t>
  </si>
  <si>
    <t xml:space="preserve">5.3.3 (5)</t>
  </si>
  <si>
    <t xml:space="preserve">Same wording, renumbered 5 → 3.</t>
  </si>
  <si>
    <t xml:space="preserve">5.3.3</t>
  </si>
  <si>
    <t xml:space="preserve">Shared decision-making (NEW)</t>
  </si>
  <si>
    <t xml:space="preserve">Shared decision-making: decisions to start vosoritide should be individualised and made jointly with the family, taking into account the available evidence, treatment burden, family preferences, and cultural, financial and healthcare-system considerations (12).</t>
  </si>
  <si>
    <t xml:space="preserve">Adds a formal shared decision-making step with the family before starting treatment.</t>
  </si>
  <si>
    <t xml:space="preserve">5.3.4</t>
  </si>
  <si>
    <t xml:space="preserve">Side effect – hypotension &amp; pre-dose advice</t>
  </si>
  <si>
    <t xml:space="preserve">A temporary decrease in blood pressure in some patients. To reduce the risk of a decrease in blood pressure and associated symptoms, patients should be well hydrated, eat a light snack and drink an adequate amount of fluid (e.g., water, milk or juice) about 30 minutes before injecting (6).</t>
  </si>
  <si>
    <t xml:space="preserve">A temporary decrease in blood pressure in some patients. To reduce the risk of a decrease in blood pressure and associated symptoms, patients should eat a meal and drink 8 to 10 ounces of fluid within 1 hour before receiving Vosoritide.</t>
  </si>
  <si>
    <t xml:space="preserve">Pre-dose advice aligned with the EU SmPC: "a meal + 8–10 oz fluid within 1 hour" → "well hydrated, light snack and adequate fluid about 30 minutes before". Patient/caregiver leaflets should be updated to match.</t>
  </si>
  <si>
    <t xml:space="preserve">Uncited → ref 6 (SmPC)</t>
  </si>
  <si>
    <t xml:space="preserve">Side effect – injection site reactions</t>
  </si>
  <si>
    <t xml:space="preserve">Injection site reactions (including redness, itching, swelling, bruising, rash, hives, and injection site pain) which is transient and resolved spontaneously.  [shown in red as "Old (2024)" in the draft]</t>
  </si>
  <si>
    <t xml:space="preserve">Injection site reactions (including redness, itching, swelling, bruising, rash, hives, and injection site pain) which is transient and resolved spontaneously.</t>
  </si>
  <si>
    <t xml:space="preserve">Carried over as is (the draft labels it "Old (2024)").</t>
  </si>
  <si>
    <t xml:space="preserve">Side effect – GI / joint pain</t>
  </si>
  <si>
    <t xml:space="preserve">Vomiting, stomachache, joint pain in few cases.  [shown in red as "Old (2024)" in the draft]</t>
  </si>
  <si>
    <t xml:space="preserve">Vomiting, stomachache, joint pain in few cases.</t>
  </si>
  <si>
    <t xml:space="preserve">Carried over as is.</t>
  </si>
  <si>
    <t xml:space="preserve">Contraindication, pregnancy, driving (NEW)</t>
  </si>
  <si>
    <t xml:space="preserve">Vosoritide is contraindicated in hypersensitivity to the active substance or any excipient. Use during pregnancy should preferably be avoided, and it should not be used during breast-feeding. Patients may be advised not to drive, cycle or use machines for at least 60 minutes after injection (6).</t>
  </si>
  <si>
    <t xml:space="preserve">Adds the SmPC contraindication (hypersensitivity), pregnancy / breast-feeding precautions and the 60-minute no-driving / cycling / machinery advice.</t>
  </si>
  <si>
    <t xml:space="preserve">New citation of ref 6 (SmPC)</t>
  </si>
  <si>
    <t xml:space="preserve">5.3.5</t>
  </si>
  <si>
    <t xml:space="preserve">Dose basis (NEW sub-section)</t>
  </si>
  <si>
    <t xml:space="preserve">The dose is based on body weight and is approximately 15–30 µg/kg, with the higher dose per kg given to the smallest children (see Table 12.1) (6).</t>
  </si>
  <si>
    <t xml:space="preserve">No dosing text. Dosing only shown in Table 12.1.</t>
  </si>
  <si>
    <t xml:space="preserve">12.1</t>
  </si>
  <si>
    <t xml:space="preserve">New section 5.3.5 "Dose, units and administration". States the µg/kg range and links to the updated table.</t>
  </si>
  <si>
    <t xml:space="preserve">Ref 6 (SmPC)</t>
  </si>
  <si>
    <t xml:space="preserve">Syringe units</t>
  </si>
  <si>
    <t xml:space="preserve">The dose can be measured with either mL-graduated or Unit (U)-graduated syringes; 0.1 mL = 10 Units (6).</t>
  </si>
  <si>
    <t xml:space="preserve">Adds the mL ↔ Unit conversion – useful for pharmacy and nursing to avoid dosing errors.</t>
  </si>
  <si>
    <t xml:space="preserve">Ref 6</t>
  </si>
  <si>
    <t xml:space="preserve">Dose review against weight</t>
  </si>
  <si>
    <t xml:space="preserve">Body weight, growth and physical development should be assessed every 3–6 months and the dose adjusted to the current weight band (6).</t>
  </si>
  <si>
    <t xml:space="preserve">Adds a formal weight-band dose review every 3–6 months.</t>
  </si>
  <si>
    <t xml:space="preserve">Administration &amp; site rotation</t>
  </si>
  <si>
    <t xml:space="preserve">Administer within 3 hours of reconstitution, at approximately the same time each day. Rotate injection sites (front middle of the thighs, lower abdomen avoiding 5 cm around the navel, top of the buttocks, back of the upper arms); do not use the same area on two consecutive days or inject into red, swollen or tender skin (6).</t>
  </si>
  <si>
    <t xml:space="preserve">Adds reconstitution time limit (3 h), timing and injection-site rotation rules.</t>
  </si>
  <si>
    <t xml:space="preserve">Missed dose</t>
  </si>
  <si>
    <t xml:space="preserve">Missed dose: it may be given within 12 hours; if more than 12 hours have passed, the missed dose should not be given and the next dose is given the following day as scheduled (6).</t>
  </si>
  <si>
    <t xml:space="preserve">Adds a missed-dose rule (12-hour window).</t>
  </si>
  <si>
    <t xml:space="preserve">Caregiver training</t>
  </si>
  <si>
    <t xml:space="preserve">Before the first injection, caregivers should be trained by a healthcare professional, ideally a specialist nurse, in preparation and subcutaneous injection technique, injection-site rotation, and recognising and managing signs and symptoms of decreased blood pressure (6,12).</t>
  </si>
  <si>
    <t xml:space="preserve">Adds mandatory caregiver training before the first dose, ideally by a specialist nurse.</t>
  </si>
  <si>
    <t xml:space="preserve">Refs 6, 12</t>
  </si>
  <si>
    <t xml:space="preserve">First dose under supervision</t>
  </si>
  <si>
    <t xml:space="preserve">The first dose should be given under medical supervision, with an observation period of approximately 1 hour to monitor for adverse reactions, particularly transient hypotension (12).</t>
  </si>
  <si>
    <t xml:space="preserve">First dose in clinic with ~1 hour observation. Has a scheduling / day-unit impact.</t>
  </si>
  <si>
    <t xml:space="preserve">5.4</t>
  </si>
  <si>
    <t xml:space="preserve">When to stop Vosoritide</t>
  </si>
  <si>
    <t xml:space="preserve">It should be discontinued upon confirmation of no further growth potential, indicated by an annual growth velocity of &lt;1.5 cm/year and radiological confirmation of closed growth plates (epiphyses) (6).</t>
  </si>
  <si>
    <t xml:space="preserve">It should be discontinued for Achondroplasia cases whose annual growth velocity is &lt;1.5 cm after completing one year of vosoritide treatment or upon radiological confirmation of no further growth potential, when growth plates are closed.</t>
  </si>
  <si>
    <t xml:space="preserve">Key change: the old rule was AGV &lt;1.5 cm after 1 year OR closed plates (either one is enough). The new rule is AGV &lt;1.5 cm/year AND radiological closed plates (both needed), in line with the SmPC. Treatment will therefore usually run longer. See also the removed exclusion criterion (non-responder after 1 year).</t>
  </si>
  <si>
    <t xml:space="preserve">5.5 Monitoring &amp; Follow-up</t>
  </si>
  <si>
    <t xml:space="preserve">5.5</t>
  </si>
  <si>
    <t xml:space="preserve">Monitoring heading</t>
  </si>
  <si>
    <t xml:space="preserve">Monitoring and follow-up protocols (See appendix 11.20)</t>
  </si>
  <si>
    <t xml:space="preserve">Still points to appendix 11.20 (the 2024 timing table), while the new 5.5.5 table gives a different schedule. Suggest pointing to 5.5.5 as the main schedule, or updating 11.20, so staff aren't working from two different timetables.</t>
  </si>
  <si>
    <t xml:space="preserve">5.5.1</t>
  </si>
  <si>
    <t xml:space="preserve">Treatment-informing assessments</t>
  </si>
  <si>
    <t xml:space="preserve">• Parental height considerations
• Annual skeletal survey for evaluation of growth plate and bone age
• Vitamin D level</t>
  </si>
  <si>
    <t xml:space="preserve">• Parental height considerations
• Tanner staging
• Bone age
• Annual skeletal survey for evaluation of growth plate
• Vitamin D level</t>
  </si>
  <si>
    <t xml:space="preserve">"Tanner staging" removed from this list (now in the baseline table 5.5.4 and from ~8 years in the follow-up table 5.5.5). "Bone age" merged into the annual skeletal survey line.</t>
  </si>
  <si>
    <t xml:space="preserve">5.5.2</t>
  </si>
  <si>
    <t xml:space="preserve">Efficacy assessments</t>
  </si>
  <si>
    <t xml:space="preserve">• Anthropometrics (standing and sitting height, height, arm span, flexion and contractures, upper and lower arm segment)  [shown in red as "Old (2024)"]
• Symptoms (headaches, vision changes, worsening joint pain)</t>
  </si>
  <si>
    <t xml:space="preserve">• Anthropometrics (standing and sitting height, height, arm span, flexion and contractures, upper and lower arm segment)
• Annualized growth velocity
• Symptoms (headaches, vision changes, worsening joint pain)</t>
  </si>
  <si>
    <t xml:space="preserve">"Annualized growth velocity" bullet removed here – it now sits in the follow-up table 5.5.5 (from month 6, then every visit). Anthropometrics and symptoms kept.</t>
  </si>
  <si>
    <t xml:space="preserve">5.5.3</t>
  </si>
  <si>
    <t xml:space="preserve">Safety assessment</t>
  </si>
  <si>
    <t xml:space="preserve">• Discussion of other intervention</t>
  </si>
  <si>
    <t xml:space="preserve">• Review adverse events
• Discussion of concomitant/new medications
• Discussion of other intervention</t>
  </si>
  <si>
    <t xml:space="preserve">Two bullets dropped. Adverse-event review is now covered every visit in 5.5.5. Concomitant medications are reviewed at baseline (5.5.4) but no longer appear anywhere in the follow-up schedule – worth adding back to 5.5.5.</t>
  </si>
  <si>
    <t xml:space="preserve">5.5.4</t>
  </si>
  <si>
    <t xml:space="preserve">Baseline assessment – intro (NEW)</t>
  </si>
  <si>
    <t xml:space="preserve">The following assessments should be completed and documented before the first dose (6,12–15):</t>
  </si>
  <si>
    <t xml:space="preserve">New structured pre-treatment checklist (8 domains below).</t>
  </si>
  <si>
    <t xml:space="preserve">Refs 6, 12–15 (12–15 all new)</t>
  </si>
  <si>
    <t xml:space="preserve">Baseline – Diagnosis and eligibility</t>
  </si>
  <si>
    <t xml:space="preserve">Confirm achondroplasia clinically/radiologically and genetically where appropriate; verify eligibility and open growth potential according to applicable label.</t>
  </si>
  <si>
    <t xml:space="preserve">Partly covered: "Day 0" items in appendix 11.20 and the "Considerations" figure (genetic confirmation, open growth plates).</t>
  </si>
  <si>
    <t xml:space="preserve">11.20 / 5.3.2</t>
  </si>
  <si>
    <t xml:space="preserve">Now a formal documented baseline step.</t>
  </si>
  <si>
    <t xml:space="preserve">Refs 6, 12–15</t>
  </si>
  <si>
    <t xml:space="preserve">Baseline – Anthropometry</t>
  </si>
  <si>
    <t xml:space="preserve">Length/standing height, weight, head circumference in younger children, BMI, sitting height; consider arm span and upper/lower segment measurements where feasible.</t>
  </si>
  <si>
    <t xml:space="preserve">Appendix 11.20: anthropometrics at Day 0 (standing &amp; sitting height, height, arm span, flexion &amp; contractures, upper &amp; lower arm segment).</t>
  </si>
  <si>
    <t xml:space="preserve">11.20</t>
  </si>
  <si>
    <t xml:space="preserve">Adds weight, head circumference (younger children) and BMI to the baseline set.</t>
  </si>
  <si>
    <t xml:space="preserve">Baseline – Growth history</t>
  </si>
  <si>
    <t xml:space="preserve">Review reliable prior measurements and calculate pretreatment annualized growth velocity (AGV) when sufficient longitudinal data are available.</t>
  </si>
  <si>
    <t xml:space="preserve">Pre-treatment AGV now required (gives a baseline to judge response).</t>
  </si>
  <si>
    <t xml:space="preserve">Baseline – Puberty / skeletal maturity</t>
  </si>
  <si>
    <t xml:space="preserve">Document Tanner stage when age appropriate; assess growth-plate status when clinically indicated.</t>
  </si>
  <si>
    <t xml:space="preserve">Appendix 11.20: Tanner staging, bone age and X-ray at Day 0.</t>
  </si>
  <si>
    <t xml:space="preserve">Tanner "when age appropriate" (not for every infant); growth-plate imaging "when clinically indicated".</t>
  </si>
  <si>
    <t xml:space="preserve">Baseline – Achondroplasia complications</t>
  </si>
  <si>
    <t xml:space="preserve">Review neurologic/neurosurgical, sleep/respiratory, ENT/hearing, orthopedic/spinal, nutritional/weight and functional domains according to standard care.</t>
  </si>
  <si>
    <t xml:space="preserve">Full complications review before the first dose.</t>
  </si>
  <si>
    <t xml:space="preserve">Baseline – Medication and health review</t>
  </si>
  <si>
    <t xml:space="preserve">Document concomitant medications, intercurrent conditions, prior surgery, and factors that could independently affect growth.</t>
  </si>
  <si>
    <t xml:space="preserve">5.5.3: "Discussion of concomitant/new medications" (every 6 months per appendix 11.20).</t>
  </si>
  <si>
    <t xml:space="preserve">Now a baseline item; broadened to include intercurrent illness and prior surgery.</t>
  </si>
  <si>
    <t xml:space="preserve">Baseline – Treatment readiness</t>
  </si>
  <si>
    <t xml:space="preserve">Discuss daily injection burden, storage, administration, adherence barriers, family expectations and contact pathway.</t>
  </si>
  <si>
    <t xml:space="preserve">"Considerations" figure: family willingness to commit to daily injections, regular follow-up, communication, reporting side effects.</t>
  </si>
  <si>
    <t xml:space="preserve">5.3.2 (figure)</t>
  </si>
  <si>
    <t xml:space="preserve">Turned from a selection consideration into a documented baseline discussion; adds storage and a contact pathway.</t>
  </si>
  <si>
    <t xml:space="preserve">Baseline – Patient-centred outcomes</t>
  </si>
  <si>
    <t xml:space="preserve">Record baseline functional status and patient/family-reported outcomes or QoL where feasible (18).</t>
  </si>
  <si>
    <t xml:space="preserve">Adds baseline QoL / patient-reported outcomes.</t>
  </si>
  <si>
    <t xml:space="preserve">New ref 18</t>
  </si>
  <si>
    <t xml:space="preserve">5.5.5</t>
  </si>
  <si>
    <t xml:space="preserve">Follow-up schedule by age group (NEW table)</t>
  </si>
  <si>
    <t xml:space="preserve">New table: 0–2 years every 3 months; over 2 years to growth-plate closure every 6 months. Covers height/weight, head circumference, AGV, upper-to-lower segment ratio, dose check, neuro exam, sleep review, adverse events, Tanner stage and skeletal survey.
→ Full row-by-row comparison on the 'Monitoring Schedule' sheet.</t>
  </si>
  <si>
    <t xml:space="preserve">Appendix 11.20 timing table: Day 0, Month 1, Month 3, every 6 months, annually – one schedule for all ages.</t>
  </si>
  <si>
    <t xml:space="preserve">Age-stratified follow-up replaces the single 2024 timetable. Infants (0–2 y) are now seen every 3 months instead of every 6 months after month 3.</t>
  </si>
  <si>
    <t xml:space="preserve">Refs 6, 12, 13, 16, 17, 19</t>
  </si>
  <si>
    <t xml:space="preserve">5.5.6</t>
  </si>
  <si>
    <t xml:space="preserve">Long-term care – QoL tools (NEW)</t>
  </si>
  <si>
    <t xml:space="preserve">Validated quality-of-life tools (e.g., PedsQL, QoLISSY) should be used to monitor patient wellbeing over time and guide individualised interventions (12).</t>
  </si>
  <si>
    <t xml:space="preserve">Adds routine QoL monitoring with named validated tools.</t>
  </si>
  <si>
    <t xml:space="preserve">Long-term care – transition (NEW)</t>
  </si>
  <si>
    <t xml:space="preserve">Transition from paediatric to adult care should be planned in a structured manner, ideally through transition clinics involving both paediatric and adult specialists, and should include guidance on employment and independent living (12).</t>
  </si>
  <si>
    <t xml:space="preserve">Adds a structured paediatric-to-adult transition pathway.</t>
  </si>
  <si>
    <t xml:space="preserve">5.6</t>
  </si>
  <si>
    <t xml:space="preserve">Renal and hepatic impairment</t>
  </si>
  <si>
    <t xml:space="preserve">The safety and efficacy of vosoritide in patients with renal or hepatic impairment has not been evaluated. Based on the elimination mechanism, renal or hepatic impairment is not expected to alter the pharmacokinetics of vosoritide.</t>
  </si>
  <si>
    <t xml:space="preserve">Adverse reactions table (SmPC)</t>
  </si>
  <si>
    <t xml:space="preserve">Table retained: very common – hypotension, vomiting, injection site reaction, increased alkaline phosphatase; common – syncope, pre-syncope, dizziness, nausea, fatigue.</t>
  </si>
  <si>
    <t xml:space="preserve">Same table.</t>
  </si>
  <si>
    <t xml:space="preserve">6. Algorithm  |  7. Quality Measures  |  8. Documentation</t>
  </si>
  <si>
    <t xml:space="preserve">6</t>
  </si>
  <si>
    <t xml:space="preserve">Clinical algorithm</t>
  </si>
  <si>
    <t xml:space="preserve">Flow chart retained unchanged.</t>
  </si>
  <si>
    <t xml:space="preserve">Flow chart: suspected case → clinical exam → radiology (skeletal survey, MRI brain, whole-spine MRI) → FGFR3 testing → geneticist / endocrinologist for vosoritide, MDT care, genetic counselling, monitoring.</t>
  </si>
  <si>
    <t xml:space="preserve">Algorithm hasn't been updated to reflect the new content (prenatal pathway, routine infant MRI + polysomnography, shared decision-making, expanded MDT). Suggest a refresh.</t>
  </si>
  <si>
    <t xml:space="preserve">7</t>
  </si>
  <si>
    <t xml:space="preserve">Quality measures</t>
  </si>
  <si>
    <t xml:space="preserve">• Patient medication (Vosoritide treatment) compliance rate for a given period of time
• Percentage physician compliance to developmental screening tool
• Compliance to monitoring parameters of growth charts</t>
  </si>
  <si>
    <t xml:space="preserve">Same. Optional idea: add measures for the new recommendations (e.g. % infants with craniocervical MRI / polysomnography, % first doses observed, % caregivers trained).</t>
  </si>
  <si>
    <t xml:space="preserve">8</t>
  </si>
  <si>
    <t xml:space="preserve">Documentation (implementation tools)</t>
  </si>
  <si>
    <t xml:space="preserve">• Consent form
• Growth chart (male/Female)
• Developmental screening tool
• Assessment and follow-up protocols for children with Achondroplasia
• All relevant documentation in HIS (Watheeq)</t>
  </si>
  <si>
    <t xml:space="preserve">9. References  |  10. Disclaimer  |  11. Appendix</t>
  </si>
  <si>
    <t xml:space="preserve">9</t>
  </si>
  <si>
    <t xml:space="preserve">Bibliographic sources</t>
  </si>
  <si>
    <t xml:space="preserve">19 references (1–19).</t>
  </si>
  <si>
    <t xml:space="preserve">11 references (1–11).</t>
  </si>
  <si>
    <t xml:space="preserve">9 new references added (11–19), 1 duplicate removed, 1 rewritten (SmPC), 4 renumbered. Refs 4 and 5 are still listed but no longer cited in the text and describe the old age limits. → Full detail on the 'References' sheet.</t>
  </si>
  <si>
    <t xml:space="preserve">See 'References' sheet</t>
  </si>
  <si>
    <t xml:space="preserve">10</t>
  </si>
  <si>
    <t xml:space="preserve">Disclaimer statement</t>
  </si>
  <si>
    <t xml:space="preserve">• This guideline is for the diagnosis and management of Achondroplasia cases, and it should not replace the clinical judgment of the physician.
• The contents of this document will be revised after every two years or as and when required ...
• The ownership of this document lies with Head of department ...</t>
  </si>
  <si>
    <t xml:space="preserve">Same three statements.</t>
  </si>
  <si>
    <t xml:space="preserve">11.1–11.9</t>
  </si>
  <si>
    <t xml:space="preserve">Appendix – growth charts &amp; developmental tool</t>
  </si>
  <si>
    <t xml:space="preserve">11.1–11.8 growth charts (HC, height, weight, BMI – female &amp; male); 11.9 developmental screening tool (Ireland et al. 2019).</t>
  </si>
  <si>
    <t xml:space="preserve">Same appendices 11.1–11.9.</t>
  </si>
  <si>
    <t xml:space="preserve">Same charts.</t>
  </si>
  <si>
    <t xml:space="preserve">Appendix – assessment &amp; follow-up protocol</t>
  </si>
  <si>
    <t xml:space="preserve">Retained (same 2024 timing image: Day 0 / Month 1 / Month 3 / every 6 months / annually).</t>
  </si>
  <si>
    <t xml:space="preserve">Assessment and follow-up protocol table (Day 0 / Month 1 / Month 3 / every 6 months / annually).</t>
  </si>
  <si>
    <t xml:space="preserve">Content unchanged, but now overlaps with – and partly contradicts – the new 5.5.5 schedule (e.g. infants every 3 vs 6 months). Needs reconciling.</t>
  </si>
  <si>
    <t xml:space="preserve">11.21</t>
  </si>
  <si>
    <t xml:space="preserve">Appendix – puberty charts</t>
  </si>
  <si>
    <t xml:space="preserve">Puberty charts reference retained.</t>
  </si>
  <si>
    <t xml:space="preserve">Puberty charts reference.</t>
  </si>
  <si>
    <t xml:space="preserve">12. Tables  |  13. Approval  |  14. CPG History</t>
  </si>
  <si>
    <t xml:space="preserve">Vosoritide dosing table</t>
  </si>
  <si>
    <t xml:space="preserve">Updated SmPC Table 1: 11 weight bands from 4 kg up to ≥90 kg, with dose, vial strength, solvent volume &amp; concentration, and daily volume in mL and Units.
→ Band-by-band comparison on the 'Dosing Table 12.1' sheet.</t>
  </si>
  <si>
    <t xml:space="preserve">"Vosoretide Treatment (BioMarin)": 8 weight bands from 10 kg up to ≥90 kg.</t>
  </si>
  <si>
    <t xml:space="preserve">Fills an important gap: the 2024 table started at 10 kg even though treatment was allowed from 4 months, so there was no dose for babies under 10 kg. New bands 4, 5, 6–7 and 8–11 kg added. Doses for the overlapping bands are the same. The draft still shows the old table (in red) next to the new one – remove it before sign-off so there's only one dosing table.</t>
  </si>
  <si>
    <t xml:space="preserve">13</t>
  </si>
  <si>
    <t xml:space="preserve">Review &amp; approval</t>
  </si>
  <si>
    <t xml:space="preserve">Same names and titles (Dr. Maha Faden, Dr. Sauzan Al Hameidi, Dr. Sauzan Haj-Kheder, Dr. Aziza A. Dongues, Dr. Adil Hussain, Mr. Ali Asmar, Dr. Abdulwahab Al Ayoubi, Dr. Yousef Al Otaibi). Signature and date fields blank.</t>
  </si>
  <si>
    <t xml:space="preserve">Same names and titles, dated 18/08/24 – 27/08/24.</t>
  </si>
  <si>
    <t xml:space="preserve">Sign-off dates cleared for re-approval. No change to the review panel.</t>
  </si>
  <si>
    <t xml:space="preserve">14</t>
  </si>
  <si>
    <t xml:space="preserve">CPG history</t>
  </si>
  <si>
    <t xml:space="preserve">Number and version: CPG/DMT-A/332. Replaces: [blank]. Effective date: [blank]. Revision date: [blank].</t>
  </si>
  <si>
    <t xml:space="preserve">Number and version: CPG/DMT-A/332. Replaces: None. Effective date: 27/08/24. Revision date: 26/08/26.</t>
  </si>
  <si>
    <t xml:space="preserve">Needs completing before issue: "Replaces" should reference the 2024 version (effective 27/08/24), and new effective / revision dates added. Consider a version suffix (e.g. v2) so the two documents can be told apart.</t>
  </si>
  <si>
    <t xml:space="preserve">Table 12.1 – Vosoritide dose by body weight: updated vs 2024</t>
  </si>
  <si>
    <t xml:space="preserve">Updated = SmPC Table 1 (ref 6). Old = 2024 'Vosoretide Treatment (BioMarin)'. Frequency is once daily in both. Bands lined up on the same row where they cover the same weights.</t>
  </si>
  <si>
    <t xml:space="preserve">UPDATED (SmPC Table 1)</t>
  </si>
  <si>
    <t xml:space="preserve">OLD (2024)</t>
  </si>
  <si>
    <t xml:space="preserve">Body weight (kg)</t>
  </si>
  <si>
    <t xml:space="preserve">Dose</t>
  </si>
  <si>
    <t xml:space="preserve">Vial strength</t>
  </si>
  <si>
    <t xml:space="preserve">Solvent; concentration</t>
  </si>
  <si>
    <t xml:space="preserve">Volume (mL)</t>
  </si>
  <si>
    <t xml:space="preserve">Volume (Units)</t>
  </si>
  <si>
    <t xml:space="preserve">Body weight</t>
  </si>
  <si>
    <t xml:space="preserve">Concentration</t>
  </si>
  <si>
    <t xml:space="preserve">Comment</t>
  </si>
  <si>
    <t xml:space="preserve">0.12 mg</t>
  </si>
  <si>
    <t xml:space="preserve">0.4 mg</t>
  </si>
  <si>
    <t xml:space="preserve">0.5 mL; 0.8 mg/mL</t>
  </si>
  <si>
    <t xml:space="preserve">0.15 mL</t>
  </si>
  <si>
    <t xml:space="preserve">15 U</t>
  </si>
  <si>
    <t xml:space="preserve">— no band —</t>
  </si>
  <si>
    <t xml:space="preserve">No 2024 dose for a 4 kg infant.</t>
  </si>
  <si>
    <t xml:space="preserve">5</t>
  </si>
  <si>
    <t xml:space="preserve">0.16 mg</t>
  </si>
  <si>
    <t xml:space="preserve">0.20 mL</t>
  </si>
  <si>
    <t xml:space="preserve">20 U</t>
  </si>
  <si>
    <t xml:space="preserve">No 2024 dose for a 5 kg infant.</t>
  </si>
  <si>
    <t xml:space="preserve">6–7</t>
  </si>
  <si>
    <t xml:space="preserve">0.20 mg</t>
  </si>
  <si>
    <t xml:space="preserve">0.25 mL</t>
  </si>
  <si>
    <t xml:space="preserve">25 U</t>
  </si>
  <si>
    <t xml:space="preserve">No 2024 dose for 6–7 kg.</t>
  </si>
  <si>
    <t xml:space="preserve">8–11</t>
  </si>
  <si>
    <t xml:space="preserve">0.24 mg</t>
  </si>
  <si>
    <t xml:space="preserve">0.30 mL</t>
  </si>
  <si>
    <t xml:space="preserve">30 U</t>
  </si>
  <si>
    <t xml:space="preserve">10 to &lt;12 kg</t>
  </si>
  <si>
    <t xml:space="preserve">0.4 mg/vial</t>
  </si>
  <si>
    <t xml:space="preserve">0.8 mg/mL</t>
  </si>
  <si>
    <t xml:space="preserve">0.3 mL</t>
  </si>
  <si>
    <t xml:space="preserve">Same dose (0.24 mg / 30 U). Lower edge moved from 10 kg down to 8 kg.</t>
  </si>
  <si>
    <t xml:space="preserve">12–16</t>
  </si>
  <si>
    <t xml:space="preserve">0.28 mg</t>
  </si>
  <si>
    <t xml:space="preserve">0.56 mg</t>
  </si>
  <si>
    <t xml:space="preserve">0.7 mL; 0.8 mg/mL</t>
  </si>
  <si>
    <t xml:space="preserve">0.35 mL</t>
  </si>
  <si>
    <t xml:space="preserve">35 U</t>
  </si>
  <si>
    <t xml:space="preserve">12 to &lt;17 kg</t>
  </si>
  <si>
    <t xml:space="preserve">0.56 mg/vial</t>
  </si>
  <si>
    <t xml:space="preserve">Same dose and volume; band label written as 12–16 instead of 12 to &lt;17.</t>
  </si>
  <si>
    <t xml:space="preserve">17–21</t>
  </si>
  <si>
    <t xml:space="preserve">0.32 mg</t>
  </si>
  <si>
    <t xml:space="preserve">0.40 mL</t>
  </si>
  <si>
    <t xml:space="preserve">40 U</t>
  </si>
  <si>
    <t xml:space="preserve">17 to &lt;22 kg</t>
  </si>
  <si>
    <t xml:space="preserve">0.4 mL</t>
  </si>
  <si>
    <t xml:space="preserve">Same dose and volume.</t>
  </si>
  <si>
    <t xml:space="preserve">22–32</t>
  </si>
  <si>
    <t xml:space="preserve">0.40 mg</t>
  </si>
  <si>
    <t xml:space="preserve">0.50 mL</t>
  </si>
  <si>
    <t xml:space="preserve">50 U</t>
  </si>
  <si>
    <t xml:space="preserve">22 to &lt;33 kg</t>
  </si>
  <si>
    <t xml:space="preserve">0.5 mL</t>
  </si>
  <si>
    <t xml:space="preserve">33–43</t>
  </si>
  <si>
    <t xml:space="preserve">0.50 mg</t>
  </si>
  <si>
    <t xml:space="preserve">1.2 mg</t>
  </si>
  <si>
    <t xml:space="preserve">0.6 mL; 2 mg/mL</t>
  </si>
  <si>
    <t xml:space="preserve">33 to &lt;44 kg</t>
  </si>
  <si>
    <t xml:space="preserve">0.5 mg</t>
  </si>
  <si>
    <t xml:space="preserve">1.2 mg/vial</t>
  </si>
  <si>
    <t xml:space="preserve">2 mg/mL</t>
  </si>
  <si>
    <t xml:space="preserve">44–59</t>
  </si>
  <si>
    <t xml:space="preserve">0.60 mg</t>
  </si>
  <si>
    <t xml:space="preserve">44 to &lt;60 kg</t>
  </si>
  <si>
    <t xml:space="preserve">0.6 mg</t>
  </si>
  <si>
    <t xml:space="preserve">60–89</t>
  </si>
  <si>
    <t xml:space="preserve">0.70 mg</t>
  </si>
  <si>
    <t xml:space="preserve">60 to &lt;90 kg</t>
  </si>
  <si>
    <t xml:space="preserve">0.7 mg</t>
  </si>
  <si>
    <t xml:space="preserve">≥ 90</t>
  </si>
  <si>
    <t xml:space="preserve">0.80 mg</t>
  </si>
  <si>
    <t xml:space="preserve">≥ 90 kg</t>
  </si>
  <si>
    <t xml:space="preserve">0.8 mg</t>
  </si>
  <si>
    <t xml:space="preserve">Key points</t>
  </si>
  <si>
    <t xml:space="preserve">• The 2024 table started at 10 kg, although the guideline allowed treatment from 4 months. Infants under 10 kg had no listed dose. The update adds 4 kg, 5 kg, 6–7 kg and 8–11 kg bands.</t>
  </si>
  <si>
    <t xml:space="preserve">• For 10 kg and above, the dose, vial and injection volume are the same in both versions. Only the way the bands are written has changed.</t>
  </si>
  <si>
    <t xml:space="preserve">• Added in the update: solvent volume for reconstitution (0.5 / 0.7 / 0.6 mL). Dropped: the 'Frequency of dosing' column (once daily in both).</t>
  </si>
  <si>
    <t xml:space="preserve">• The updated draft still shows the old 2024 table (in red) above the new one. Remove it before sign-off so there's only one dosing table (medication-safety point).</t>
  </si>
  <si>
    <t xml:space="preserve">Follow-up schedule: updated 5.5.5 vs 2024 appendix 11.20</t>
  </si>
  <si>
    <t xml:space="preserve">Updated = new age-stratified table (section 5.5.5). Old = 2024 timing table in appendix 11.20 (Day 0 / Month 1 / Month 3 / every 6 months / annually).</t>
  </si>
  <si>
    <t xml:space="preserve">UPDATED (5.5.5)</t>
  </si>
  <si>
    <t xml:space="preserve">OLD (2024, appendix 11.20)</t>
  </si>
  <si>
    <t xml:space="preserve">Assessment</t>
  </si>
  <si>
    <t xml:space="preserve">0–2 years</t>
  </si>
  <si>
    <t xml:space="preserve">Over 2 years to growth-plate closure</t>
  </si>
  <si>
    <t xml:space="preserve">Refs</t>
  </si>
  <si>
    <t xml:space="preserve">Old timing (all ages)</t>
  </si>
  <si>
    <t xml:space="preserve">Visit interval</t>
  </si>
  <si>
    <t xml:space="preserve">Every 3 months</t>
  </si>
  <si>
    <t xml:space="preserve">Every 6 months</t>
  </si>
  <si>
    <t xml:space="preserve">6,12,13</t>
  </si>
  <si>
    <t xml:space="preserve">Day 0, Month 1, Month 3, then every 6 months</t>
  </si>
  <si>
    <t xml:space="preserve">Infants are now seen every 3 months throughout, not every 6 months after month 3. The Month 1 visit is no longer listed.</t>
  </si>
  <si>
    <t xml:space="preserve">Length/height and weight</t>
  </si>
  <si>
    <t xml:space="preserve">Every visit</t>
  </si>
  <si>
    <t xml:space="preserve">Every visit (every 6 months)</t>
  </si>
  <si>
    <t xml:space="preserve">12,13,17</t>
  </si>
  <si>
    <t xml:space="preserve">Anthropometrics: Day 0 and every 6 months</t>
  </si>
  <si>
    <t xml:space="preserve">More frequent for 0–2 years. Weight is now named explicitly (needed for the dose check).</t>
  </si>
  <si>
    <t xml:space="preserve">Head circumference</t>
  </si>
  <si>
    <t xml:space="preserve">Every visit up to about 5 years; then not routine</t>
  </si>
  <si>
    <t xml:space="preserve">12,13</t>
  </si>
  <si>
    <t xml:space="preserve">Not specified</t>
  </si>
  <si>
    <t xml:space="preserve">New item. Linked to the foramen magnum / hydrocephalus risk in young children.</t>
  </si>
  <si>
    <t xml:space="preserve">Annualized growth velocity</t>
  </si>
  <si>
    <t xml:space="preserve">From month 6, then each visit</t>
  </si>
  <si>
    <t xml:space="preserve">Every visit; below 1.5 cm/year triggers stop review</t>
  </si>
  <si>
    <t xml:space="preserve">6,12,17</t>
  </si>
  <si>
    <t xml:space="preserve">Starts from month 6. A low AGV now triggers a stop review – it is not an automatic stop (see 5.4).</t>
  </si>
  <si>
    <t xml:space="preserve">Upper-to-lower segment ratio</t>
  </si>
  <si>
    <t xml:space="preserve">Every 6–12 months</t>
  </si>
  <si>
    <t xml:space="preserve">17</t>
  </si>
  <si>
    <t xml:space="preserve">Part of anthropometrics (upper &amp; lower arm segment): Day 0 and every 6 months</t>
  </si>
  <si>
    <t xml:space="preserve">Now its own line with an age-specific interval.</t>
  </si>
  <si>
    <t xml:space="preserve">Dose check against weight band</t>
  </si>
  <si>
    <t xml:space="preserve">6,13</t>
  </si>
  <si>
    <t xml:space="preserve">New. Matches the 5.3.5 rule (weight-band review every 3–6 months).</t>
  </si>
  <si>
    <t xml:space="preserve">Neurological examination</t>
  </si>
  <si>
    <t xml:space="preserve">Symptoms (headaches, vision changes, joint pain): Month 1, Month 3, every 6 months</t>
  </si>
  <si>
    <t xml:space="preserve">Symptom check becomes a formal neuro exam at every visit.</t>
  </si>
  <si>
    <t xml:space="preserve">Sleep symptom review</t>
  </si>
  <si>
    <t xml:space="preserve">Every visit; repeat sleep study if symptoms</t>
  </si>
  <si>
    <t xml:space="preserve">Every visit; sleep study if symptoms</t>
  </si>
  <si>
    <t xml:space="preserve">12,19</t>
  </si>
  <si>
    <t xml:space="preserve">New. Ties in with routine polysomnography in infancy (5.2).</t>
  </si>
  <si>
    <t xml:space="preserve">Adverse events, injection sites, hypotension symptoms</t>
  </si>
  <si>
    <t xml:space="preserve">6,16,17</t>
  </si>
  <si>
    <t xml:space="preserve">Review adverse events: every 6 months</t>
  </si>
  <si>
    <t xml:space="preserve">Every visit, so every 3 months for infants. Injection sites and hypotension now named explicitly.</t>
  </si>
  <si>
    <t xml:space="preserve">Tanner stage</t>
  </si>
  <si>
    <t xml:space="preserve">No</t>
  </si>
  <si>
    <t xml:space="preserve">From about 8 years, every 6 months</t>
  </si>
  <si>
    <t xml:space="preserve">Day 0 and every 6 months (all ages)</t>
  </si>
  <si>
    <t xml:space="preserve">No longer done in young children. Starts from about 8 years.</t>
  </si>
  <si>
    <t xml:space="preserve">Skeletal survey (growth plates and bone age)</t>
  </si>
  <si>
    <t xml:space="preserve">Annually</t>
  </si>
  <si>
    <t xml:space="preserve">Annually; stop treatment if growth plates closed (see 5.4)</t>
  </si>
  <si>
    <t xml:space="preserve">2024 CPG</t>
  </si>
  <si>
    <t xml:space="preserve">X-ray and bone age: Day 0 and annually</t>
  </si>
  <si>
    <t xml:space="preserve">Same annual frequency, carried over from the 2024 CPG.</t>
  </si>
  <si>
    <t xml:space="preserve">Parental height</t>
  </si>
  <si>
    <t xml:space="preserve">Day 0</t>
  </si>
  <si>
    <t xml:space="preserve">Not in the new table, but still listed under 5.5.1 (treatment-informing). Only a baseline item in both versions.</t>
  </si>
  <si>
    <t xml:space="preserve">Vitamin D level</t>
  </si>
  <si>
    <t xml:space="preserve">Day 0 and annually</t>
  </si>
  <si>
    <t xml:space="preserve">Not in the new table. Still listed under 5.5.1, but without timing. Suggest adding 'annually' to 5.5.5 if the yearly check should stay.</t>
  </si>
  <si>
    <t xml:space="preserve">Concomitant / new medications</t>
  </si>
  <si>
    <t xml:space="preserve">Only covered at baseline (5.5.4) now. Suggest adding back to the follow-up table.</t>
  </si>
  <si>
    <t xml:space="preserve">Discussion of other interventions</t>
  </si>
  <si>
    <t xml:space="preserve">Still listed under 5.5.3, but no timing in the new table.</t>
  </si>
  <si>
    <t xml:space="preserve">Section 9 – Reference list: updated vs 2024</t>
  </si>
  <si>
    <t xml:space="preserve">Lined up by source. Updated list has 19 references; 2024 list had 11.</t>
  </si>
  <si>
    <t xml:space="preserve">UPDATED</t>
  </si>
  <si>
    <t xml:space="preserve">#</t>
  </si>
  <si>
    <t xml:space="preserve">Reference (updated)</t>
  </si>
  <si>
    <t xml:space="preserve">Reference (2024)</t>
  </si>
  <si>
    <t xml:space="preserve">Comment / where cited</t>
  </si>
  <si>
    <t xml:space="preserve">Genetics of Achondroplasia. Updated Jan 10, 2022. Defendi GL; Chief Editor: Maria D. Medscape. https://emedicine.medscape.com/article/941280-overview</t>
  </si>
  <si>
    <t xml:space="preserve">Cited in Introduction.</t>
  </si>
  <si>
    <t xml:space="preserve">2</t>
  </si>
  <si>
    <t xml:space="preserve">Epidemiology of achondroplasia: A population-based study in Europe. Am J Med Genet A. 2019;179(9):1791-1798. doi:10.1002/ajmg.a.61289. https://pubmed.ncbi.nlm.nih.gov/31294928/</t>
  </si>
  <si>
    <t xml:space="preserve">Cited in Introduction and 2.1.</t>
  </si>
  <si>
    <t xml:space="preserve">Legare JM. Achondroplasia. 1998 Oct 12 [Updated 2023 May 11]. In: Adam MP, et al., editors. GeneReviews®. Seattle (WA): University of Washington; 1993-2023. https://www.ncbi.nlm.nih.gov/books/NBK1152/</t>
  </si>
  <si>
    <t xml:space="preserve">The first and only therapy approved to increase linear growth in children with achondroplasia aged 5 years and over with open growth plates. https://www.biomarin.com/our-treatments/products/voxzogo/</t>
  </si>
  <si>
    <t xml:space="preserve">Still listed, but no longer cited anywhere in the updated text. It also describes the old '5 years and over' indication. Suggest removing it or marking it as historical.</t>
  </si>
  <si>
    <t xml:space="preserve">European Commission Approves BioMarin's VOXZOGO® (vosoritide) for the Treatment of Children with Achondroplasia from Age 2 Until Growth Plates Close. (PR Newswire)</t>
  </si>
  <si>
    <t xml:space="preserve">Still listed, but no longer cited (5.3.1 now cites ref 6 for the EU label). Describes the old 'from age 2' indication. Suggest removing it.</t>
  </si>
  <si>
    <t xml:space="preserve">SUMMARY OF PRODUCT CHARACTERISTICS: Voxzogo (vosoritide) 0.4 mg, 0.56 mg and 1.2 mg powder and solvent for solution for injection. BioMarin International Limited; European Medicines Agency. Date of revision of the text: 10/2023. https://www.ema.europa.eu/en/medicines/human/EPAR/voxzogo</t>
  </si>
  <si>
    <t xml:space="preserve">SUMMARY OF PRODUCT CHARACTERISTICS. https://www.biomarin.com/our-treatments/products/voxzogo/</t>
  </si>
  <si>
    <t xml:space="preserve">Now a full, traceable EMA citation with revision date. It's the main source for 5.3.1, 5.3.4, 5.3.5, 5.4, 5.5.4–5.5.5 and Table 12.1. (In 2024, in-text '(6)' was used for the FDA statement.)</t>
  </si>
  <si>
    <t xml:space="preserve">The first and only therapy approved to increase linear growth in children with achondroplasia aged 5 years and over with open growth plates. https://www.biomarin.com/our-treatments/products/voxzogo/#:~:text=...</t>
  </si>
  <si>
    <t xml:space="preserve">Duplicate of ref 4 (same BioMarin page). Rightly removed.</t>
  </si>
  <si>
    <t xml:space="preserve">Growth charts for Australian children with achondroplasia. Am J Med Genet A. 2017;173(8):2189-2200. doi:10.1002/ajmg.a.38312</t>
  </si>
  <si>
    <t xml:space="preserve">8 → 7. Supports the growth charts in the appendix.</t>
  </si>
  <si>
    <t xml:space="preserve">Pauli RM. Achondroplasia: a comprehensive clinical review. Orphanet J Rare Dis. 2019;14:1. https://ojrd.biomedcentral.com/articles/10.1186/s13023-018-0972-6</t>
  </si>
  <si>
    <t xml:space="preserve">9 → 8.</t>
  </si>
  <si>
    <t xml:space="preserve">Clinical Practice Guidelines for Achondroplasia. Clin Pediatr Endocrinol. 2020;29(1):25–42. PMC6958518</t>
  </si>
  <si>
    <t xml:space="preserve">10 → 9.</t>
  </si>
  <si>
    <t xml:space="preserve">https://www.chegg.com/learn/topic/achondroplastic-dwarfism</t>
  </si>
  <si>
    <t xml:space="preserve">11</t>
  </si>
  <si>
    <t xml:space="preserve">11 → 10. This is a general education website, not a peer-reviewed source. Consider replacing it.</t>
  </si>
  <si>
    <t xml:space="preserve">BioMarin Pharmaceutical Inc. U.S. FDA approves BioMarin's VOXZOGO® (vosoritide) for children under 5 years with achondroplasia; expanded indication now includes children of all ages with open growth plates. Press release, 20 October 2023.</t>
  </si>
  <si>
    <t xml:space="preserve">Cited in 5.3.1 (FDA all-ages approval).</t>
  </si>
  <si>
    <t xml:space="preserve">12</t>
  </si>
  <si>
    <t xml:space="preserve">Thalange N, Ben Omran T, Alsagheir A, Hussain K, Faden M, Aglan M, Alremeithi S, Habeb A. Consensus statement on the management of Achondroplasia in the Middle East. Front Endocrinol (Lausanne). 2026;17:1888346. doi:10.3389/fendo.2026.1888346</t>
  </si>
  <si>
    <t xml:space="preserve">Main driver of the new content (pink in the draft): prenatal diagnosis, infant screening, MDT, shared decision-making, first-dose observation, caregiver training, long-term care / transition, follow-up schedule. Note: Dr. M. Faden (preparer) is a co-author.</t>
  </si>
  <si>
    <t xml:space="preserve">Savarirayan R, Hoover-Fong J, Ozono K, et al. International consensus guidelines on the implementation and monitoring of vosoritide therapy in individuals with achondroplasia. Nat Rev Endocrinol. 2025;21(5):314–324. doi:10.1038/s41574-024-01074-9</t>
  </si>
  <si>
    <t xml:space="preserve">Cited in 5.5.4 and 5.5.5 (visit interval, anthropometry, neuro exam, Tanner, dose check).</t>
  </si>
  <si>
    <t xml:space="preserve">Savarirayan R, Ireland P, Irving M, et al. International Consensus Statement on the diagnosis, multidisciplinary management and lifelong care of individuals with achondroplasia. Nat Rev Endocrinol. 2022;18(3):173–189. doi:10.1038/s41574-021-00595-x</t>
  </si>
  <si>
    <t xml:space="preserve">Cited in 5.5.4 (baseline).</t>
  </si>
  <si>
    <t xml:space="preserve">15</t>
  </si>
  <si>
    <t xml:space="preserve">Barreda-Bonis AC, et al. Expert consensus for the management of patients with achondroplasia in treatment with vosoritide. An Pediatr (Engl Ed). 2024;101(6):401–410. doi:10.1016/j.anpede.2024.09.012</t>
  </si>
  <si>
    <t xml:space="preserve">16</t>
  </si>
  <si>
    <t xml:space="preserve">Savarirayan R, Wilcox WR, Harmatz P, et al. Vosoritide therapy in children with achondroplasia aged 3–59 months: phase 2 RCT. Lancet Child Adolesc Health. 2024;8(1):40–50. doi:10.1016/S2352-4642(23)00265-1</t>
  </si>
  <si>
    <t xml:space="preserve">Cited in 5.5.5 (adverse-event monitoring). Supports the infant / young-child data.</t>
  </si>
  <si>
    <t xml:space="preserve">Savarirayan R, Irving M, Wilcox WR, et al. Sustained growth-promoting effects of vosoritide in children with achondroplasia from an ongoing phase 3 extension study. Med. 2025;6(5):100566. doi:10.1016/j.medj.2024.11.019</t>
  </si>
  <si>
    <t xml:space="preserve">Cited in 5.5.5 (height, AGV, segment ratio, AEs).</t>
  </si>
  <si>
    <t xml:space="preserve">18</t>
  </si>
  <si>
    <t xml:space="preserve">Savarirayan R, Irving M, Wilcox WR, et al. Persistent growth-promoting effects of vosoritide ... improvements in health-related quality of life. Genet Med. 2024;26(12):101274. doi:10.1016/j.gim.2024.101274</t>
  </si>
  <si>
    <t xml:space="preserve">Cited in 5.5.4 (patient-centred outcomes / QoL).</t>
  </si>
  <si>
    <t xml:space="preserve">19</t>
  </si>
  <si>
    <t xml:space="preserve">Guerdile MJ, et al. Sleep-disordered breathing in children with achondroplasia: 17 years' experience from a multidisciplinary team. J Pediatr Genet. 2025;14(1). doi:10.1055/s-0044-1791787</t>
  </si>
  <si>
    <t xml:space="preserve">Cited in 5.5.5 (sleep symptom review).</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</si>
</sst>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1"/>
      <color rgb="FF595959"/>
      <name val="Arial"/>
      <family val="0"/>
      <charset val="1"/>
    </font>
    <font>
      <b val="true"/>
      <sz val="10"/>
      <name val="Arial"/>
      <family val="0"/>
      <charset val="1"/>
    </font>
    <font>
      <sz val="10"/>
      <name val="Arial"/>
      <family val="0"/>
      <charset val="1"/>
    </font>
    <font>
      <b val="true"/>
      <sz val="11"/>
      <color rgb="FF1F4E79"/>
      <name val="Arial"/>
      <family val="0"/>
      <charset val="1"/>
    </font>
    <font>
      <b val="true"/>
      <sz val="10"/>
      <color rgb="FFFFFFFF"/>
      <name val="Arial"/>
      <family val="0"/>
      <charset val="1"/>
    </font>
    <font>
      <b val="true"/>
      <sz val="11"/>
      <color rgb="FF843C0C"/>
      <name val="Arial"/>
      <family val="0"/>
      <charset val="1"/>
    </font>
    <font>
      <b val="true"/>
      <sz val="11"/>
      <color rgb="FF404040"/>
      <name val="Arial"/>
      <family val="0"/>
      <charset val="1"/>
    </font>
    <font>
      <i val="true"/>
      <sz val="9"/>
      <color rgb="FF595959"/>
      <name val="Arial"/>
      <family val="0"/>
      <charset val="1"/>
    </font>
    <font>
      <b val="true"/>
      <sz val="11"/>
      <color rgb="FFFFFFFF"/>
      <name val="Arial"/>
      <family val="0"/>
      <charset val="1"/>
    </font>
    <font>
      <b val="true"/>
      <sz val="10"/>
      <color rgb="FF1F1F1F"/>
      <name val="Arial"/>
      <family val="0"/>
      <charset val="1"/>
    </font>
    <font>
      <b val="true"/>
      <sz val="9"/>
      <name val="Arial"/>
      <family val="0"/>
      <charset val="1"/>
    </font>
    <font>
      <sz val="9"/>
      <name val="Arial"/>
      <family val="0"/>
      <charset val="1"/>
    </font>
    <font>
      <i val="true"/>
      <sz val="9"/>
      <color rgb="FF808080"/>
      <name val="Arial"/>
      <family val="0"/>
      <charset val="1"/>
    </font>
  </fonts>
  <fills count="13">
    <fill>
      <patternFill patternType="none"/>
    </fill>
    <fill>
      <patternFill patternType="gray125"/>
    </fill>
    <fill>
      <patternFill patternType="solid">
        <fgColor rgb="FF404040"/>
        <bgColor rgb="FF595959"/>
      </patternFill>
    </fill>
    <fill>
      <patternFill patternType="solid">
        <fgColor rgb="FFF8CBF0"/>
        <bgColor rgb="FFD9D9D9"/>
      </patternFill>
    </fill>
    <fill>
      <patternFill patternType="solid">
        <fgColor rgb="FFFFE699"/>
        <bgColor rgb="FFFBEEE6"/>
      </patternFill>
    </fill>
    <fill>
      <patternFill patternType="solid">
        <fgColor rgb="FFF4B6B6"/>
        <bgColor rgb="FFF8CBF0"/>
      </patternFill>
    </fill>
    <fill>
      <patternFill patternType="solid">
        <fgColor rgb="FFE2EFDA"/>
        <bgColor rgb="FFDDEBF7"/>
      </patternFill>
    </fill>
    <fill>
      <patternFill patternType="solid">
        <fgColor rgb="FFDDEBF7"/>
        <bgColor rgb="FFEAF1FB"/>
      </patternFill>
    </fill>
    <fill>
      <patternFill patternType="solid">
        <fgColor rgb="FF1F4E79"/>
        <bgColor rgb="FF003366"/>
      </patternFill>
    </fill>
    <fill>
      <patternFill patternType="solid">
        <fgColor rgb="FF843C0C"/>
        <bgColor rgb="FF993366"/>
      </patternFill>
    </fill>
    <fill>
      <patternFill patternType="solid">
        <fgColor rgb="FFD9D9D9"/>
        <bgColor rgb="FFDDEBF7"/>
      </patternFill>
    </fill>
    <fill>
      <patternFill patternType="solid">
        <fgColor rgb="FFEAF1FB"/>
        <bgColor rgb="FFDDEBF7"/>
      </patternFill>
    </fill>
    <fill>
      <patternFill patternType="solid">
        <fgColor rgb="FFFBEEE6"/>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general" vertical="center" textRotation="0" wrapText="fals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16" fillId="11" borderId="1" xfId="0" applyFont="true" applyBorder="true" applyAlignment="true" applyProtection="false">
      <alignment horizontal="general" vertical="top" textRotation="0" wrapText="true" indent="0" shrinkToFit="false"/>
      <protection locked="true" hidden="false"/>
    </xf>
    <xf numFmtId="164" fontId="16" fillId="12"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1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11"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79"/>
          <bgColor rgb="FF000000"/>
        </patternFill>
      </fill>
    </dxf>
    <dxf>
      <fill>
        <patternFill patternType="solid">
          <fgColor rgb="FFD9D9D9"/>
          <bgColor rgb="FF000000"/>
        </patternFill>
      </fill>
    </dxf>
    <dxf>
      <fill>
        <patternFill patternType="solid">
          <fgColor rgb="FFEAF1FB"/>
          <bgColor rgb="FF000000"/>
        </patternFill>
      </fill>
    </dxf>
    <dxf>
      <fill>
        <patternFill patternType="solid">
          <fgColor rgb="FF1F1F1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843C0C"/>
          <bgColor rgb="FF000000"/>
        </patternFill>
      </fill>
    </dxf>
    <dxf>
      <fill>
        <patternFill patternType="solid">
          <fgColor rgb="FFFBEEE6"/>
          <bgColor rgb="FF000000"/>
        </patternFill>
      </fill>
    </dxf>
    <dxf>
      <fill>
        <patternFill patternType="solid">
          <fgColor rgb="FF808080"/>
          <bgColor rgb="FF000000"/>
        </patternFill>
      </fill>
    </dxf>
    <dxf>
      <fill>
        <patternFill patternType="solid">
          <fgColor rgb="FF404040"/>
          <bgColor rgb="FF000000"/>
        </patternFill>
      </fill>
    </dxf>
    <dxf>
      <fill>
        <patternFill patternType="solid">
          <fgColor rgb="FFE2EFDA"/>
          <bgColor rgb="FF000000"/>
        </patternFill>
      </fill>
    </dxf>
    <dxf>
      <fill>
        <patternFill patternType="solid">
          <fgColor rgb="FFF4B6B6"/>
          <bgColor rgb="FF000000"/>
        </patternFill>
      </fill>
    </dxf>
    <dxf>
      <fill>
        <patternFill patternType="solid">
          <fgColor rgb="FFF8CBF0"/>
          <bgColor rgb="FF000000"/>
        </patternFill>
      </fill>
    </dxf>
    <dxf>
      <fill>
        <patternFill patternType="solid">
          <fgColor rgb="FFFFE699"/>
          <bgColor rgb="FF000000"/>
        </patternFill>
      </fill>
    </dxf>
    <dxf>
      <fill>
        <patternFill>
          <bgColor rgb="FFF8CBF0"/>
        </patternFill>
      </fill>
    </dxf>
    <dxf>
      <fill>
        <patternFill>
          <bgColor rgb="FFFFE699"/>
        </patternFill>
      </fill>
    </dxf>
    <dxf>
      <fill>
        <patternFill>
          <bgColor rgb="FFF4B6B6"/>
        </patternFill>
      </fill>
    </dxf>
    <dxf>
      <fill>
        <patternFill>
          <bgColor rgb="FFE2EFDA"/>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EE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2EFDA"/>
      <rgbColor rgb="FFFFE699"/>
      <rgbColor rgb="FF99CCFF"/>
      <rgbColor rgb="FFF8CBF0"/>
      <rgbColor rgb="FFCC99FF"/>
      <rgbColor rgb="FFF4B6B6"/>
      <rgbColor rgb="FF3366FF"/>
      <rgbColor rgb="FF33CCCC"/>
      <rgbColor rgb="FF99CC00"/>
      <rgbColor rgb="FFFFCC00"/>
      <rgbColor rgb="FFFF9900"/>
      <rgbColor rgb="FFFF6600"/>
      <rgbColor rgb="FF595959"/>
      <rgbColor rgb="FF969696"/>
      <rgbColor rgb="FF003366"/>
      <rgbColor rgb="FF339966"/>
      <rgbColor rgb="FF003300"/>
      <rgbColor rgb="FF1F1F1F"/>
      <rgbColor rgb="FF843C0C"/>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6" min="3" style="0" width="16"/>
    <col collapsed="false" customWidth="true" hidden="false" outlineLevel="0" max="7" min="7" style="0" width="40"/>
  </cols>
  <sheetData>
    <row r="1" customFormat="false" ht="24"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27.75" hidden="false" customHeight="true" outlineLevel="0" collapsed="false">
      <c r="B4" s="3" t="s">
        <v>2</v>
      </c>
      <c r="C4" s="4" t="s">
        <v>3</v>
      </c>
      <c r="D4" s="4"/>
      <c r="E4" s="4"/>
      <c r="F4" s="4"/>
      <c r="G4" s="4"/>
    </row>
    <row r="5" customFormat="false" ht="27.75" hidden="false" customHeight="true" outlineLevel="0" collapsed="false">
      <c r="B5" s="3" t="s">
        <v>4</v>
      </c>
      <c r="C5" s="4" t="s">
        <v>5</v>
      </c>
      <c r="D5" s="4"/>
      <c r="E5" s="4"/>
      <c r="F5" s="4"/>
      <c r="G5" s="4"/>
    </row>
    <row r="6" customFormat="false" ht="27.75" hidden="false" customHeight="true" outlineLevel="0" collapsed="false">
      <c r="B6" s="3" t="s">
        <v>6</v>
      </c>
      <c r="C6" s="4" t="s">
        <v>7</v>
      </c>
      <c r="D6" s="4"/>
      <c r="E6" s="4"/>
      <c r="F6" s="4"/>
      <c r="G6" s="4"/>
    </row>
    <row r="8" customFormat="false" ht="15" hidden="false" customHeight="false" outlineLevel="0" collapsed="false">
      <c r="B8" s="5" t="s">
        <v>8</v>
      </c>
    </row>
    <row r="9" customFormat="false" ht="15" hidden="false" customHeight="false" outlineLevel="0" collapsed="false">
      <c r="B9" s="6" t="s">
        <v>9</v>
      </c>
      <c r="C9" s="6" t="s">
        <v>10</v>
      </c>
      <c r="D9" s="6" t="s">
        <v>11</v>
      </c>
      <c r="E9" s="6" t="s">
        <v>12</v>
      </c>
      <c r="F9" s="6" t="s">
        <v>13</v>
      </c>
      <c r="G9" s="6" t="s">
        <v>14</v>
      </c>
    </row>
    <row r="10" customFormat="false" ht="15" hidden="false" customHeight="false" outlineLevel="0" collapsed="false">
      <c r="B10" s="7" t="s">
        <v>15</v>
      </c>
      <c r="C10" s="8" t="n">
        <f aca="false">COUNTIF('Side-by-Side Comparison'!$F$5:$F$78,B10)</f>
        <v>20</v>
      </c>
      <c r="D10" s="8" t="n">
        <f aca="false">COUNTIF('Dosing Table 12.1'!$N$5:$N$15,B10)</f>
        <v>3</v>
      </c>
      <c r="E10" s="8" t="n">
        <f aca="false">COUNTIF('Monitoring Schedule'!$G$5:$G$19,B10)</f>
        <v>3</v>
      </c>
      <c r="F10" s="8" t="n">
        <f aca="false">COUNTIF(References!$F$5:$F$24,B10)</f>
        <v>9</v>
      </c>
      <c r="G10" s="9" t="s">
        <v>16</v>
      </c>
    </row>
    <row r="11" customFormat="false" ht="15" hidden="false" customHeight="false" outlineLevel="0" collapsed="false">
      <c r="B11" s="10" t="s">
        <v>17</v>
      </c>
      <c r="C11" s="8" t="n">
        <f aca="false">COUNTIF('Side-by-Side Comparison'!$F$5:$F$78,B11)</f>
        <v>15</v>
      </c>
      <c r="D11" s="8" t="n">
        <f aca="false">COUNTIF('Dosing Table 12.1'!$N$5:$N$15,B11)</f>
        <v>1</v>
      </c>
      <c r="E11" s="8" t="n">
        <f aca="false">COUNTIF('Monitoring Schedule'!$G$5:$G$19,B11)</f>
        <v>7</v>
      </c>
      <c r="F11" s="8" t="n">
        <f aca="false">COUNTIF(References!$F$5:$F$24,B11)</f>
        <v>1</v>
      </c>
      <c r="G11" s="9" t="s">
        <v>18</v>
      </c>
    </row>
    <row r="12" customFormat="false" ht="15" hidden="false" customHeight="false" outlineLevel="0" collapsed="false">
      <c r="B12" s="11" t="s">
        <v>19</v>
      </c>
      <c r="C12" s="8" t="n">
        <f aca="false">COUNTIF('Side-by-Side Comparison'!$F$5:$F$78,B12)</f>
        <v>2</v>
      </c>
      <c r="D12" s="8" t="n">
        <f aca="false">COUNTIF('Dosing Table 12.1'!$N$5:$N$15,B12)</f>
        <v>0</v>
      </c>
      <c r="E12" s="8" t="n">
        <f aca="false">COUNTIF('Monitoring Schedule'!$G$5:$G$19,B12)</f>
        <v>4</v>
      </c>
      <c r="F12" s="8" t="n">
        <f aca="false">COUNTIF(References!$F$5:$F$24,B12)</f>
        <v>1</v>
      </c>
      <c r="G12" s="9" t="s">
        <v>20</v>
      </c>
    </row>
    <row r="13" customFormat="false" ht="15" hidden="false" customHeight="false" outlineLevel="0" collapsed="false">
      <c r="B13" s="12" t="s">
        <v>21</v>
      </c>
      <c r="C13" s="8" t="n">
        <f aca="false">COUNTIF('Side-by-Side Comparison'!$F$5:$F$78,B13)</f>
        <v>28</v>
      </c>
      <c r="D13" s="8" t="n">
        <f aca="false">COUNTIF('Dosing Table 12.1'!$N$5:$N$15,B13)</f>
        <v>7</v>
      </c>
      <c r="E13" s="8" t="n">
        <f aca="false">COUNTIF('Monitoring Schedule'!$G$5:$G$19,B13)</f>
        <v>1</v>
      </c>
      <c r="F13" s="8" t="n">
        <f aca="false">COUNTIF(References!$F$5:$F$24,B13)</f>
        <v>5</v>
      </c>
      <c r="G13" s="9" t="s">
        <v>22</v>
      </c>
    </row>
    <row r="14" customFormat="false" ht="15" hidden="false" customHeight="false" outlineLevel="0" collapsed="false">
      <c r="B14" s="13" t="s">
        <v>23</v>
      </c>
      <c r="C14" s="8" t="n">
        <f aca="false">COUNTIF('Side-by-Side Comparison'!$F$5:$F$78,B14)</f>
        <v>0</v>
      </c>
      <c r="D14" s="8" t="n">
        <f aca="false">COUNTIF('Dosing Table 12.1'!$N$5:$N$15,B14)</f>
        <v>0</v>
      </c>
      <c r="E14" s="8" t="n">
        <f aca="false">COUNTIF('Monitoring Schedule'!$G$5:$G$19,B14)</f>
        <v>0</v>
      </c>
      <c r="F14" s="8" t="n">
        <f aca="false">COUNTIF(References!$F$5:$F$24,B14)</f>
        <v>4</v>
      </c>
      <c r="G14" s="9" t="s">
        <v>24</v>
      </c>
    </row>
    <row r="15" customFormat="false" ht="15" hidden="false" customHeight="false" outlineLevel="0" collapsed="false">
      <c r="B15" s="14" t="s">
        <v>25</v>
      </c>
      <c r="C15" s="15" t="n">
        <f aca="false">SUM(C10:C14)</f>
        <v>65</v>
      </c>
      <c r="D15" s="15" t="n">
        <f aca="false">SUM(D10:D14)</f>
        <v>11</v>
      </c>
      <c r="E15" s="15" t="n">
        <f aca="false">SUM(E10:E14)</f>
        <v>15</v>
      </c>
      <c r="F15" s="15" t="n">
        <f aca="false">SUM(F10:F14)</f>
        <v>20</v>
      </c>
      <c r="G15" s="14"/>
    </row>
    <row r="17" customFormat="false" ht="15" hidden="false" customHeight="false" outlineLevel="0" collapsed="false">
      <c r="B17" s="5" t="s">
        <v>26</v>
      </c>
    </row>
    <row r="18" customFormat="false" ht="18" hidden="false" customHeight="true" outlineLevel="0" collapsed="false">
      <c r="A18" s="16" t="n">
        <v>1</v>
      </c>
      <c r="B18" s="4" t="s">
        <v>27</v>
      </c>
      <c r="C18" s="4"/>
      <c r="D18" s="4"/>
      <c r="E18" s="4"/>
      <c r="F18" s="4"/>
      <c r="G18" s="4"/>
    </row>
    <row r="19" customFormat="false" ht="31.5" hidden="false" customHeight="true" outlineLevel="0" collapsed="false">
      <c r="A19" s="16" t="n">
        <v>2</v>
      </c>
      <c r="B19" s="4" t="s">
        <v>28</v>
      </c>
      <c r="C19" s="4"/>
      <c r="D19" s="4"/>
      <c r="E19" s="4"/>
      <c r="F19" s="4"/>
      <c r="G19" s="4"/>
    </row>
    <row r="20" customFormat="false" ht="18" hidden="false" customHeight="true" outlineLevel="0" collapsed="false">
      <c r="A20" s="16" t="n">
        <v>3</v>
      </c>
      <c r="B20" s="4" t="s">
        <v>29</v>
      </c>
      <c r="C20" s="4"/>
      <c r="D20" s="4"/>
      <c r="E20" s="4"/>
      <c r="F20" s="4"/>
      <c r="G20" s="4"/>
    </row>
    <row r="21" customFormat="false" ht="31.5" hidden="false" customHeight="true" outlineLevel="0" collapsed="false">
      <c r="A21" s="16" t="n">
        <v>4</v>
      </c>
      <c r="B21" s="4" t="s">
        <v>30</v>
      </c>
      <c r="C21" s="4"/>
      <c r="D21" s="4"/>
      <c r="E21" s="4"/>
      <c r="F21" s="4"/>
      <c r="G21" s="4"/>
    </row>
    <row r="22" customFormat="false" ht="18" hidden="false" customHeight="true" outlineLevel="0" collapsed="false">
      <c r="A22" s="16" t="n">
        <v>5</v>
      </c>
      <c r="B22" s="4" t="s">
        <v>31</v>
      </c>
      <c r="C22" s="4"/>
      <c r="D22" s="4"/>
      <c r="E22" s="4"/>
      <c r="F22" s="4"/>
      <c r="G22" s="4"/>
    </row>
    <row r="23" customFormat="false" ht="18" hidden="false" customHeight="true" outlineLevel="0" collapsed="false">
      <c r="A23" s="16" t="n">
        <v>6</v>
      </c>
      <c r="B23" s="4" t="s">
        <v>32</v>
      </c>
      <c r="C23" s="4"/>
      <c r="D23" s="4"/>
      <c r="E23" s="4"/>
      <c r="F23" s="4"/>
      <c r="G23" s="4"/>
    </row>
    <row r="24" customFormat="false" ht="18" hidden="false" customHeight="true" outlineLevel="0" collapsed="false">
      <c r="A24" s="16" t="n">
        <v>7</v>
      </c>
      <c r="B24" s="4" t="s">
        <v>33</v>
      </c>
      <c r="C24" s="4"/>
      <c r="D24" s="4"/>
      <c r="E24" s="4"/>
      <c r="F24" s="4"/>
      <c r="G24" s="4"/>
    </row>
    <row r="25" customFormat="false" ht="18" hidden="false" customHeight="true" outlineLevel="0" collapsed="false">
      <c r="A25" s="16" t="n">
        <v>8</v>
      </c>
      <c r="B25" s="4" t="s">
        <v>34</v>
      </c>
      <c r="C25" s="4"/>
      <c r="D25" s="4"/>
      <c r="E25" s="4"/>
      <c r="F25" s="4"/>
      <c r="G25" s="4"/>
    </row>
    <row r="26" customFormat="false" ht="31.5" hidden="false" customHeight="true" outlineLevel="0" collapsed="false">
      <c r="A26" s="16" t="n">
        <v>9</v>
      </c>
      <c r="B26" s="4" t="s">
        <v>35</v>
      </c>
      <c r="C26" s="4"/>
      <c r="D26" s="4"/>
      <c r="E26" s="4"/>
      <c r="F26" s="4"/>
      <c r="G26" s="4"/>
    </row>
    <row r="27" customFormat="false" ht="18" hidden="false" customHeight="true" outlineLevel="0" collapsed="false">
      <c r="A27" s="16" t="n">
        <v>10</v>
      </c>
      <c r="B27" s="4" t="s">
        <v>36</v>
      </c>
      <c r="C27" s="4"/>
      <c r="D27" s="4"/>
      <c r="E27" s="4"/>
      <c r="F27" s="4"/>
      <c r="G27" s="4"/>
    </row>
    <row r="29" customFormat="false" ht="15" hidden="false" customHeight="false" outlineLevel="0" collapsed="false">
      <c r="B29" s="17" t="s">
        <v>37</v>
      </c>
    </row>
    <row r="30" customFormat="false" ht="18" hidden="false" customHeight="true" outlineLevel="0" collapsed="false">
      <c r="A30" s="16" t="n">
        <v>1</v>
      </c>
      <c r="B30" s="4" t="s">
        <v>38</v>
      </c>
      <c r="C30" s="4"/>
      <c r="D30" s="4"/>
      <c r="E30" s="4"/>
      <c r="F30" s="4"/>
      <c r="G30" s="4"/>
    </row>
    <row r="31" customFormat="false" ht="18" hidden="false" customHeight="true" outlineLevel="0" collapsed="false">
      <c r="A31" s="16" t="n">
        <v>2</v>
      </c>
      <c r="B31" s="4" t="s">
        <v>39</v>
      </c>
      <c r="C31" s="4"/>
      <c r="D31" s="4"/>
      <c r="E31" s="4"/>
      <c r="F31" s="4"/>
      <c r="G31" s="4"/>
    </row>
    <row r="32" customFormat="false" ht="31.5" hidden="false" customHeight="true" outlineLevel="0" collapsed="false">
      <c r="A32" s="16" t="n">
        <v>3</v>
      </c>
      <c r="B32" s="4" t="s">
        <v>40</v>
      </c>
      <c r="C32" s="4"/>
      <c r="D32" s="4"/>
      <c r="E32" s="4"/>
      <c r="F32" s="4"/>
      <c r="G32" s="4"/>
    </row>
    <row r="33" customFormat="false" ht="18" hidden="false" customHeight="true" outlineLevel="0" collapsed="false">
      <c r="A33" s="16" t="n">
        <v>4</v>
      </c>
      <c r="B33" s="4" t="s">
        <v>41</v>
      </c>
      <c r="C33" s="4"/>
      <c r="D33" s="4"/>
      <c r="E33" s="4"/>
      <c r="F33" s="4"/>
      <c r="G33" s="4"/>
    </row>
    <row r="34" customFormat="false" ht="31.5" hidden="false" customHeight="true" outlineLevel="0" collapsed="false">
      <c r="A34" s="16" t="n">
        <v>5</v>
      </c>
      <c r="B34" s="4" t="s">
        <v>42</v>
      </c>
      <c r="C34" s="4"/>
      <c r="D34" s="4"/>
      <c r="E34" s="4"/>
      <c r="F34" s="4"/>
      <c r="G34" s="4"/>
    </row>
    <row r="35" customFormat="false" ht="18" hidden="false" customHeight="true" outlineLevel="0" collapsed="false">
      <c r="A35" s="16" t="n">
        <v>6</v>
      </c>
      <c r="B35" s="4" t="s">
        <v>43</v>
      </c>
      <c r="C35" s="4"/>
      <c r="D35" s="4"/>
      <c r="E35" s="4"/>
      <c r="F35" s="4"/>
      <c r="G35" s="4"/>
    </row>
    <row r="36" customFormat="false" ht="18" hidden="false" customHeight="true" outlineLevel="0" collapsed="false">
      <c r="A36" s="16" t="n">
        <v>7</v>
      </c>
      <c r="B36" s="4" t="s">
        <v>44</v>
      </c>
      <c r="C36" s="4"/>
      <c r="D36" s="4"/>
      <c r="E36" s="4"/>
      <c r="F36" s="4"/>
      <c r="G36" s="4"/>
    </row>
    <row r="37" customFormat="false" ht="18" hidden="false" customHeight="true" outlineLevel="0" collapsed="false">
      <c r="A37" s="16" t="n">
        <v>8</v>
      </c>
      <c r="B37" s="4" t="s">
        <v>45</v>
      </c>
      <c r="C37" s="4"/>
      <c r="D37" s="4"/>
      <c r="E37" s="4"/>
      <c r="F37" s="4"/>
      <c r="G37" s="4"/>
    </row>
    <row r="38" customFormat="false" ht="18" hidden="false" customHeight="true" outlineLevel="0" collapsed="false">
      <c r="A38" s="16" t="n">
        <v>9</v>
      </c>
      <c r="B38" s="4" t="s">
        <v>46</v>
      </c>
      <c r="C38" s="4"/>
      <c r="D38" s="4"/>
      <c r="E38" s="4"/>
      <c r="F38" s="4"/>
      <c r="G38" s="4"/>
    </row>
    <row r="40" customFormat="false" ht="15" hidden="false" customHeight="false" outlineLevel="0" collapsed="false">
      <c r="B40" s="18" t="s">
        <v>47</v>
      </c>
    </row>
    <row r="41" customFormat="false" ht="27.75" hidden="false" customHeight="true" outlineLevel="0" collapsed="false">
      <c r="B41" s="3" t="s">
        <v>48</v>
      </c>
      <c r="C41" s="4" t="s">
        <v>49</v>
      </c>
      <c r="D41" s="4"/>
      <c r="E41" s="4"/>
      <c r="F41" s="4"/>
      <c r="G41" s="4"/>
    </row>
    <row r="42" customFormat="false" ht="27.75" hidden="false" customHeight="true" outlineLevel="0" collapsed="false">
      <c r="B42" s="3" t="s">
        <v>50</v>
      </c>
      <c r="C42" s="4" t="s">
        <v>51</v>
      </c>
      <c r="D42" s="4"/>
      <c r="E42" s="4"/>
      <c r="F42" s="4"/>
      <c r="G42" s="4"/>
    </row>
    <row r="43" customFormat="false" ht="27.75" hidden="false" customHeight="true" outlineLevel="0" collapsed="false">
      <c r="B43" s="3" t="s">
        <v>52</v>
      </c>
      <c r="C43" s="4" t="s">
        <v>53</v>
      </c>
      <c r="D43" s="4"/>
      <c r="E43" s="4"/>
      <c r="F43" s="4"/>
      <c r="G43" s="4"/>
    </row>
    <row r="44" customFormat="false" ht="27.75" hidden="false" customHeight="true" outlineLevel="0" collapsed="false">
      <c r="B44" s="3" t="s">
        <v>13</v>
      </c>
      <c r="C44" s="4" t="s">
        <v>54</v>
      </c>
      <c r="D44" s="4"/>
      <c r="E44" s="4"/>
      <c r="F44" s="4"/>
      <c r="G44" s="4"/>
    </row>
    <row r="46" customFormat="false" ht="25.5" hidden="false" customHeight="true" outlineLevel="0" collapsed="false">
      <c r="B46" s="19" t="s">
        <v>55</v>
      </c>
      <c r="C46" s="19"/>
      <c r="D46" s="19"/>
      <c r="E46" s="19"/>
      <c r="F46" s="19"/>
      <c r="G46" s="19"/>
    </row>
  </sheetData>
  <mergeCells count="29">
    <mergeCell ref="A1:G1"/>
    <mergeCell ref="A2:G2"/>
    <mergeCell ref="C4:G4"/>
    <mergeCell ref="C5:G5"/>
    <mergeCell ref="C6:G6"/>
    <mergeCell ref="B18:G18"/>
    <mergeCell ref="B19:G19"/>
    <mergeCell ref="B20:G20"/>
    <mergeCell ref="B21:G21"/>
    <mergeCell ref="B22:G22"/>
    <mergeCell ref="B23:G23"/>
    <mergeCell ref="B24:G24"/>
    <mergeCell ref="B25:G25"/>
    <mergeCell ref="B26:G26"/>
    <mergeCell ref="B27:G27"/>
    <mergeCell ref="B30:G30"/>
    <mergeCell ref="B31:G31"/>
    <mergeCell ref="B32:G32"/>
    <mergeCell ref="B33:G33"/>
    <mergeCell ref="B34:G34"/>
    <mergeCell ref="B35:G35"/>
    <mergeCell ref="B36:G36"/>
    <mergeCell ref="B37:G37"/>
    <mergeCell ref="B38:G38"/>
    <mergeCell ref="C41:G41"/>
    <mergeCell ref="C42:G42"/>
    <mergeCell ref="C43:G43"/>
    <mergeCell ref="C44:G44"/>
    <mergeCell ref="B46:G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62"/>
    <col collapsed="false" customWidth="true" hidden="false" outlineLevel="0" max="5" min="5" style="0" width="10"/>
    <col collapsed="false" customWidth="true" hidden="false" outlineLevel="0" max="6" min="6" style="0" width="13"/>
    <col collapsed="false" customWidth="true" hidden="false" outlineLevel="0" max="7" min="7" style="0" width="52"/>
    <col collapsed="false" customWidth="true" hidden="false" outlineLevel="0" max="8" min="8" style="0" width="20"/>
  </cols>
  <sheetData>
    <row r="1" customFormat="false" ht="24" hidden="false" customHeight="true" outlineLevel="0" collapsed="false">
      <c r="A1" s="20" t="s">
        <v>56</v>
      </c>
      <c r="B1" s="20"/>
      <c r="C1" s="20"/>
      <c r="D1" s="20"/>
      <c r="E1" s="20"/>
      <c r="F1" s="20"/>
      <c r="G1" s="20"/>
      <c r="H1" s="20"/>
    </row>
    <row r="2" customFormat="false" ht="30" hidden="false" customHeight="true" outlineLevel="0" collapsed="false">
      <c r="A2" s="19" t="s">
        <v>57</v>
      </c>
      <c r="B2" s="19"/>
      <c r="C2" s="19"/>
      <c r="D2" s="19"/>
      <c r="E2" s="19"/>
      <c r="F2" s="19"/>
      <c r="G2" s="19"/>
      <c r="H2" s="19"/>
    </row>
    <row r="3" customFormat="false" ht="21.75" hidden="false" customHeight="true" outlineLevel="0" collapsed="false">
      <c r="A3" s="21" t="s">
        <v>58</v>
      </c>
      <c r="B3" s="21"/>
      <c r="C3" s="21"/>
      <c r="D3" s="22" t="s">
        <v>59</v>
      </c>
      <c r="E3" s="22"/>
      <c r="F3" s="23" t="s">
        <v>60</v>
      </c>
      <c r="G3" s="23"/>
      <c r="H3" s="23"/>
    </row>
    <row r="4" customFormat="false" ht="31.5" hidden="false" customHeight="true" outlineLevel="0" collapsed="false">
      <c r="A4" s="24" t="s">
        <v>61</v>
      </c>
      <c r="B4" s="24" t="s">
        <v>62</v>
      </c>
      <c r="C4" s="24" t="s">
        <v>63</v>
      </c>
      <c r="D4" s="25" t="s">
        <v>64</v>
      </c>
      <c r="E4" s="25" t="s">
        <v>65</v>
      </c>
      <c r="F4" s="6" t="s">
        <v>9</v>
      </c>
      <c r="G4" s="6" t="s">
        <v>66</v>
      </c>
      <c r="H4" s="6" t="s">
        <v>67</v>
      </c>
    </row>
    <row r="5" customFormat="false" ht="18" hidden="false" customHeight="true" outlineLevel="0" collapsed="false">
      <c r="A5" s="26" t="s">
        <v>68</v>
      </c>
      <c r="B5" s="26"/>
      <c r="C5" s="26"/>
      <c r="D5" s="26"/>
      <c r="E5" s="26"/>
      <c r="F5" s="26"/>
      <c r="G5" s="26"/>
      <c r="H5" s="26"/>
    </row>
    <row r="6" customFormat="false" ht="181.5" hidden="false" customHeight="true" outlineLevel="0" collapsed="false">
      <c r="A6" s="27" t="s">
        <v>69</v>
      </c>
      <c r="B6" s="27" t="s">
        <v>70</v>
      </c>
      <c r="C6" s="28" t="s">
        <v>71</v>
      </c>
      <c r="D6" s="29" t="s">
        <v>71</v>
      </c>
      <c r="E6" s="29" t="s">
        <v>69</v>
      </c>
      <c r="F6" s="30" t="s">
        <v>21</v>
      </c>
      <c r="G6" s="31" t="s">
        <v>72</v>
      </c>
      <c r="H6" s="31" t="s">
        <v>73</v>
      </c>
    </row>
    <row r="7" customFormat="false" ht="154.5" hidden="false" customHeight="true" outlineLevel="0" collapsed="false">
      <c r="A7" s="27" t="s">
        <v>74</v>
      </c>
      <c r="B7" s="27" t="s">
        <v>75</v>
      </c>
      <c r="C7" s="28" t="s">
        <v>76</v>
      </c>
      <c r="D7" s="29" t="s">
        <v>76</v>
      </c>
      <c r="E7" s="29" t="s">
        <v>74</v>
      </c>
      <c r="F7" s="30" t="s">
        <v>21</v>
      </c>
      <c r="G7" s="31" t="s">
        <v>77</v>
      </c>
      <c r="H7" s="31" t="s">
        <v>78</v>
      </c>
    </row>
    <row r="8" customFormat="false" ht="33" hidden="false" customHeight="true" outlineLevel="0" collapsed="false">
      <c r="A8" s="27" t="s">
        <v>79</v>
      </c>
      <c r="B8" s="27" t="s">
        <v>80</v>
      </c>
      <c r="C8" s="28" t="s">
        <v>81</v>
      </c>
      <c r="D8" s="29" t="s">
        <v>81</v>
      </c>
      <c r="E8" s="29" t="s">
        <v>79</v>
      </c>
      <c r="F8" s="30" t="s">
        <v>21</v>
      </c>
      <c r="G8" s="31" t="s">
        <v>82</v>
      </c>
      <c r="H8" s="31" t="s">
        <v>82</v>
      </c>
    </row>
    <row r="9" customFormat="false" ht="46.5" hidden="false" customHeight="true" outlineLevel="0" collapsed="false">
      <c r="A9" s="27" t="s">
        <v>83</v>
      </c>
      <c r="B9" s="27" t="s">
        <v>84</v>
      </c>
      <c r="C9" s="28" t="s">
        <v>85</v>
      </c>
      <c r="D9" s="29" t="s">
        <v>85</v>
      </c>
      <c r="E9" s="29" t="s">
        <v>83</v>
      </c>
      <c r="F9" s="30" t="s">
        <v>21</v>
      </c>
      <c r="G9" s="31" t="s">
        <v>82</v>
      </c>
      <c r="H9" s="31" t="s">
        <v>82</v>
      </c>
    </row>
    <row r="10" customFormat="false" ht="18" hidden="false" customHeight="true" outlineLevel="0" collapsed="false">
      <c r="A10" s="26" t="s">
        <v>86</v>
      </c>
      <c r="B10" s="26"/>
      <c r="C10" s="26"/>
      <c r="D10" s="26"/>
      <c r="E10" s="26"/>
      <c r="F10" s="26"/>
      <c r="G10" s="26"/>
      <c r="H10" s="26"/>
    </row>
    <row r="11" customFormat="false" ht="114" hidden="false" customHeight="true" outlineLevel="0" collapsed="false">
      <c r="A11" s="27" t="s">
        <v>87</v>
      </c>
      <c r="B11" s="27" t="s">
        <v>88</v>
      </c>
      <c r="C11" s="28" t="s">
        <v>89</v>
      </c>
      <c r="D11" s="29" t="s">
        <v>89</v>
      </c>
      <c r="E11" s="29" t="s">
        <v>87</v>
      </c>
      <c r="F11" s="30" t="s">
        <v>21</v>
      </c>
      <c r="G11" s="31" t="s">
        <v>82</v>
      </c>
      <c r="H11" s="31" t="s">
        <v>82</v>
      </c>
    </row>
    <row r="12" customFormat="false" ht="73.5" hidden="false" customHeight="true" outlineLevel="0" collapsed="false">
      <c r="A12" s="27" t="s">
        <v>90</v>
      </c>
      <c r="B12" s="27" t="s">
        <v>91</v>
      </c>
      <c r="C12" s="28" t="s">
        <v>92</v>
      </c>
      <c r="D12" s="29" t="s">
        <v>92</v>
      </c>
      <c r="E12" s="29" t="s">
        <v>90</v>
      </c>
      <c r="F12" s="30" t="s">
        <v>21</v>
      </c>
      <c r="G12" s="31" t="s">
        <v>93</v>
      </c>
      <c r="H12" s="31" t="s">
        <v>82</v>
      </c>
    </row>
    <row r="13" customFormat="false" ht="18" hidden="false" customHeight="true" outlineLevel="0" collapsed="false">
      <c r="A13" s="26" t="s">
        <v>94</v>
      </c>
      <c r="B13" s="26"/>
      <c r="C13" s="26"/>
      <c r="D13" s="26"/>
      <c r="E13" s="26"/>
      <c r="F13" s="26"/>
      <c r="G13" s="26"/>
      <c r="H13" s="26"/>
    </row>
    <row r="14" customFormat="false" ht="33" hidden="false" customHeight="true" outlineLevel="0" collapsed="false">
      <c r="A14" s="27" t="s">
        <v>95</v>
      </c>
      <c r="B14" s="27" t="s">
        <v>96</v>
      </c>
      <c r="C14" s="28" t="s">
        <v>97</v>
      </c>
      <c r="D14" s="29" t="s">
        <v>98</v>
      </c>
      <c r="E14" s="29" t="s">
        <v>95</v>
      </c>
      <c r="F14" s="30" t="s">
        <v>21</v>
      </c>
      <c r="G14" s="31" t="s">
        <v>99</v>
      </c>
      <c r="H14" s="31" t="s">
        <v>82</v>
      </c>
    </row>
    <row r="15" customFormat="false" ht="60" hidden="false" customHeight="true" outlineLevel="0" collapsed="false">
      <c r="A15" s="27" t="s">
        <v>100</v>
      </c>
      <c r="B15" s="27" t="s">
        <v>101</v>
      </c>
      <c r="C15" s="28" t="s">
        <v>102</v>
      </c>
      <c r="D15" s="29" t="s">
        <v>103</v>
      </c>
      <c r="E15" s="29" t="s">
        <v>100</v>
      </c>
      <c r="F15" s="30" t="s">
        <v>21</v>
      </c>
      <c r="G15" s="31" t="s">
        <v>99</v>
      </c>
      <c r="H15" s="31" t="s">
        <v>82</v>
      </c>
    </row>
    <row r="16" customFormat="false" ht="33" hidden="false" customHeight="true" outlineLevel="0" collapsed="false">
      <c r="A16" s="27" t="s">
        <v>104</v>
      </c>
      <c r="B16" s="27" t="s">
        <v>105</v>
      </c>
      <c r="C16" s="28" t="s">
        <v>106</v>
      </c>
      <c r="D16" s="29" t="s">
        <v>106</v>
      </c>
      <c r="E16" s="29" t="s">
        <v>104</v>
      </c>
      <c r="F16" s="30" t="s">
        <v>21</v>
      </c>
      <c r="G16" s="31" t="s">
        <v>82</v>
      </c>
      <c r="H16" s="31" t="s">
        <v>82</v>
      </c>
    </row>
    <row r="17" customFormat="false" ht="127.5" hidden="false" customHeight="true" outlineLevel="0" collapsed="false">
      <c r="A17" s="27" t="s">
        <v>107</v>
      </c>
      <c r="B17" s="27" t="s">
        <v>108</v>
      </c>
      <c r="C17" s="28" t="s">
        <v>109</v>
      </c>
      <c r="D17" s="32" t="s">
        <v>110</v>
      </c>
      <c r="E17" s="29" t="s">
        <v>82</v>
      </c>
      <c r="F17" s="30" t="s">
        <v>15</v>
      </c>
      <c r="G17" s="31" t="s">
        <v>111</v>
      </c>
      <c r="H17" s="31" t="s">
        <v>112</v>
      </c>
    </row>
    <row r="18" customFormat="false" ht="18" hidden="false" customHeight="true" outlineLevel="0" collapsed="false">
      <c r="A18" s="26" t="s">
        <v>113</v>
      </c>
      <c r="B18" s="26"/>
      <c r="C18" s="26"/>
      <c r="D18" s="26"/>
      <c r="E18" s="26"/>
      <c r="F18" s="26"/>
      <c r="G18" s="26"/>
      <c r="H18" s="26"/>
    </row>
    <row r="19" customFormat="false" ht="60" hidden="false" customHeight="true" outlineLevel="0" collapsed="false">
      <c r="A19" s="27" t="s">
        <v>114</v>
      </c>
      <c r="B19" s="27" t="s">
        <v>115</v>
      </c>
      <c r="C19" s="28" t="s">
        <v>116</v>
      </c>
      <c r="D19" s="29" t="s">
        <v>117</v>
      </c>
      <c r="E19" s="29" t="s">
        <v>114</v>
      </c>
      <c r="F19" s="30" t="s">
        <v>21</v>
      </c>
      <c r="G19" s="31" t="s">
        <v>118</v>
      </c>
      <c r="H19" s="31" t="s">
        <v>82</v>
      </c>
    </row>
    <row r="20" customFormat="false" ht="141" hidden="false" customHeight="true" outlineLevel="0" collapsed="false">
      <c r="A20" s="27" t="s">
        <v>114</v>
      </c>
      <c r="B20" s="27" t="s">
        <v>119</v>
      </c>
      <c r="C20" s="28" t="s">
        <v>120</v>
      </c>
      <c r="D20" s="29" t="s">
        <v>121</v>
      </c>
      <c r="E20" s="29" t="s">
        <v>122</v>
      </c>
      <c r="F20" s="30" t="s">
        <v>15</v>
      </c>
      <c r="G20" s="31" t="s">
        <v>123</v>
      </c>
      <c r="H20" s="31" t="s">
        <v>124</v>
      </c>
    </row>
    <row r="21" customFormat="false" ht="141" hidden="false" customHeight="true" outlineLevel="0" collapsed="false">
      <c r="A21" s="27" t="s">
        <v>114</v>
      </c>
      <c r="B21" s="27" t="s">
        <v>125</v>
      </c>
      <c r="C21" s="28" t="s">
        <v>126</v>
      </c>
      <c r="D21" s="29" t="s">
        <v>127</v>
      </c>
      <c r="E21" s="29" t="s">
        <v>128</v>
      </c>
      <c r="F21" s="30" t="s">
        <v>15</v>
      </c>
      <c r="G21" s="31" t="s">
        <v>129</v>
      </c>
      <c r="H21" s="31" t="s">
        <v>124</v>
      </c>
    </row>
    <row r="22" customFormat="false" ht="18" hidden="false" customHeight="true" outlineLevel="0" collapsed="false">
      <c r="A22" s="26" t="s">
        <v>130</v>
      </c>
      <c r="B22" s="26"/>
      <c r="C22" s="26"/>
      <c r="D22" s="26"/>
      <c r="E22" s="26"/>
      <c r="F22" s="26"/>
      <c r="G22" s="26"/>
      <c r="H22" s="26"/>
    </row>
    <row r="23" customFormat="false" ht="181.5" hidden="false" customHeight="true" outlineLevel="0" collapsed="false">
      <c r="A23" s="27" t="s">
        <v>131</v>
      </c>
      <c r="B23" s="27" t="s">
        <v>132</v>
      </c>
      <c r="C23" s="28" t="s">
        <v>133</v>
      </c>
      <c r="D23" s="29" t="s">
        <v>134</v>
      </c>
      <c r="E23" s="29" t="s">
        <v>131</v>
      </c>
      <c r="F23" s="30" t="s">
        <v>17</v>
      </c>
      <c r="G23" s="31" t="s">
        <v>135</v>
      </c>
      <c r="H23" s="31" t="s">
        <v>136</v>
      </c>
    </row>
    <row r="24" customFormat="false" ht="87" hidden="false" customHeight="true" outlineLevel="0" collapsed="false">
      <c r="A24" s="27" t="s">
        <v>137</v>
      </c>
      <c r="B24" s="27" t="s">
        <v>138</v>
      </c>
      <c r="C24" s="28" t="s">
        <v>139</v>
      </c>
      <c r="D24" s="29" t="s">
        <v>139</v>
      </c>
      <c r="E24" s="29" t="s">
        <v>137</v>
      </c>
      <c r="F24" s="30" t="s">
        <v>21</v>
      </c>
      <c r="G24" s="31" t="s">
        <v>82</v>
      </c>
      <c r="H24" s="31" t="s">
        <v>82</v>
      </c>
    </row>
    <row r="25" customFormat="false" ht="60" hidden="false" customHeight="true" outlineLevel="0" collapsed="false">
      <c r="A25" s="27" t="s">
        <v>137</v>
      </c>
      <c r="B25" s="27" t="s">
        <v>140</v>
      </c>
      <c r="C25" s="28" t="s">
        <v>141</v>
      </c>
      <c r="D25" s="29" t="s">
        <v>141</v>
      </c>
      <c r="E25" s="29" t="s">
        <v>137</v>
      </c>
      <c r="F25" s="30" t="s">
        <v>21</v>
      </c>
      <c r="G25" s="31" t="s">
        <v>142</v>
      </c>
      <c r="H25" s="31" t="s">
        <v>82</v>
      </c>
    </row>
    <row r="26" customFormat="false" ht="46.5" hidden="false" customHeight="true" outlineLevel="0" collapsed="false">
      <c r="A26" s="27" t="s">
        <v>143</v>
      </c>
      <c r="B26" s="27" t="s">
        <v>144</v>
      </c>
      <c r="C26" s="28" t="s">
        <v>145</v>
      </c>
      <c r="D26" s="29" t="s">
        <v>146</v>
      </c>
      <c r="E26" s="29" t="s">
        <v>143</v>
      </c>
      <c r="F26" s="30" t="s">
        <v>17</v>
      </c>
      <c r="G26" s="31" t="s">
        <v>147</v>
      </c>
      <c r="H26" s="31" t="s">
        <v>82</v>
      </c>
    </row>
    <row r="27" customFormat="false" ht="73.5" hidden="false" customHeight="true" outlineLevel="0" collapsed="false">
      <c r="A27" s="27" t="s">
        <v>137</v>
      </c>
      <c r="B27" s="27" t="s">
        <v>148</v>
      </c>
      <c r="C27" s="28" t="s">
        <v>149</v>
      </c>
      <c r="D27" s="29" t="s">
        <v>150</v>
      </c>
      <c r="E27" s="29" t="s">
        <v>137</v>
      </c>
      <c r="F27" s="30" t="s">
        <v>21</v>
      </c>
      <c r="G27" s="31" t="s">
        <v>118</v>
      </c>
      <c r="H27" s="31" t="s">
        <v>82</v>
      </c>
    </row>
    <row r="28" customFormat="false" ht="33" hidden="false" customHeight="true" outlineLevel="0" collapsed="false">
      <c r="A28" s="27" t="s">
        <v>151</v>
      </c>
      <c r="B28" s="27" t="s">
        <v>152</v>
      </c>
      <c r="C28" s="28" t="s">
        <v>153</v>
      </c>
      <c r="D28" s="29" t="s">
        <v>153</v>
      </c>
      <c r="E28" s="29" t="s">
        <v>151</v>
      </c>
      <c r="F28" s="30" t="s">
        <v>21</v>
      </c>
      <c r="G28" s="31" t="s">
        <v>82</v>
      </c>
      <c r="H28" s="31" t="s">
        <v>82</v>
      </c>
    </row>
    <row r="29" customFormat="false" ht="100.5" hidden="false" customHeight="true" outlineLevel="0" collapsed="false">
      <c r="A29" s="27" t="s">
        <v>82</v>
      </c>
      <c r="B29" s="27" t="s">
        <v>154</v>
      </c>
      <c r="C29" s="28" t="s">
        <v>155</v>
      </c>
      <c r="D29" s="29" t="s">
        <v>156</v>
      </c>
      <c r="E29" s="29" t="s">
        <v>157</v>
      </c>
      <c r="F29" s="30" t="s">
        <v>19</v>
      </c>
      <c r="G29" s="31" t="s">
        <v>158</v>
      </c>
      <c r="H29" s="31" t="s">
        <v>82</v>
      </c>
    </row>
    <row r="30" customFormat="false" ht="33" hidden="false" customHeight="true" outlineLevel="0" collapsed="false">
      <c r="A30" s="27" t="s">
        <v>157</v>
      </c>
      <c r="B30" s="27" t="s">
        <v>159</v>
      </c>
      <c r="C30" s="28" t="s">
        <v>160</v>
      </c>
      <c r="D30" s="29" t="s">
        <v>161</v>
      </c>
      <c r="E30" s="29" t="s">
        <v>162</v>
      </c>
      <c r="F30" s="30" t="s">
        <v>21</v>
      </c>
      <c r="G30" s="31" t="s">
        <v>163</v>
      </c>
      <c r="H30" s="31" t="s">
        <v>82</v>
      </c>
    </row>
    <row r="31" customFormat="false" ht="60" hidden="false" customHeight="true" outlineLevel="0" collapsed="false">
      <c r="A31" s="27" t="s">
        <v>82</v>
      </c>
      <c r="B31" s="27" t="s">
        <v>164</v>
      </c>
      <c r="C31" s="28" t="s">
        <v>155</v>
      </c>
      <c r="D31" s="29" t="s">
        <v>165</v>
      </c>
      <c r="E31" s="29" t="s">
        <v>166</v>
      </c>
      <c r="F31" s="30" t="s">
        <v>19</v>
      </c>
      <c r="G31" s="31" t="s">
        <v>167</v>
      </c>
      <c r="H31" s="31" t="s">
        <v>82</v>
      </c>
    </row>
    <row r="32" customFormat="false" ht="33" hidden="false" customHeight="true" outlineLevel="0" collapsed="false">
      <c r="A32" s="27" t="s">
        <v>162</v>
      </c>
      <c r="B32" s="27" t="s">
        <v>168</v>
      </c>
      <c r="C32" s="28" t="s">
        <v>169</v>
      </c>
      <c r="D32" s="29" t="s">
        <v>170</v>
      </c>
      <c r="E32" s="29" t="s">
        <v>171</v>
      </c>
      <c r="F32" s="30" t="s">
        <v>21</v>
      </c>
      <c r="G32" s="31" t="s">
        <v>172</v>
      </c>
      <c r="H32" s="31" t="s">
        <v>82</v>
      </c>
    </row>
    <row r="33" customFormat="false" ht="60" hidden="false" customHeight="true" outlineLevel="0" collapsed="false">
      <c r="A33" s="27" t="s">
        <v>173</v>
      </c>
      <c r="B33" s="27" t="s">
        <v>174</v>
      </c>
      <c r="C33" s="28" t="s">
        <v>175</v>
      </c>
      <c r="D33" s="32" t="s">
        <v>110</v>
      </c>
      <c r="E33" s="29" t="s">
        <v>82</v>
      </c>
      <c r="F33" s="30" t="s">
        <v>15</v>
      </c>
      <c r="G33" s="31" t="s">
        <v>176</v>
      </c>
      <c r="H33" s="31" t="s">
        <v>124</v>
      </c>
    </row>
    <row r="34" customFormat="false" ht="73.5" hidden="false" customHeight="true" outlineLevel="0" collapsed="false">
      <c r="A34" s="27" t="s">
        <v>177</v>
      </c>
      <c r="B34" s="27" t="s">
        <v>178</v>
      </c>
      <c r="C34" s="28" t="s">
        <v>179</v>
      </c>
      <c r="D34" s="29" t="s">
        <v>180</v>
      </c>
      <c r="E34" s="29" t="s">
        <v>177</v>
      </c>
      <c r="F34" s="30" t="s">
        <v>17</v>
      </c>
      <c r="G34" s="31" t="s">
        <v>181</v>
      </c>
      <c r="H34" s="31" t="s">
        <v>182</v>
      </c>
    </row>
    <row r="35" customFormat="false" ht="46.5" hidden="false" customHeight="true" outlineLevel="0" collapsed="false">
      <c r="A35" s="27" t="s">
        <v>177</v>
      </c>
      <c r="B35" s="27" t="s">
        <v>183</v>
      </c>
      <c r="C35" s="28" t="s">
        <v>184</v>
      </c>
      <c r="D35" s="29" t="s">
        <v>185</v>
      </c>
      <c r="E35" s="29" t="s">
        <v>177</v>
      </c>
      <c r="F35" s="30" t="s">
        <v>21</v>
      </c>
      <c r="G35" s="31" t="s">
        <v>186</v>
      </c>
      <c r="H35" s="31" t="s">
        <v>82</v>
      </c>
    </row>
    <row r="36" customFormat="false" ht="33" hidden="false" customHeight="true" outlineLevel="0" collapsed="false">
      <c r="A36" s="27" t="s">
        <v>177</v>
      </c>
      <c r="B36" s="27" t="s">
        <v>187</v>
      </c>
      <c r="C36" s="28" t="s">
        <v>188</v>
      </c>
      <c r="D36" s="29" t="s">
        <v>189</v>
      </c>
      <c r="E36" s="29" t="s">
        <v>177</v>
      </c>
      <c r="F36" s="30" t="s">
        <v>21</v>
      </c>
      <c r="G36" s="31" t="s">
        <v>190</v>
      </c>
      <c r="H36" s="31" t="s">
        <v>82</v>
      </c>
    </row>
    <row r="37" customFormat="false" ht="73.5" hidden="false" customHeight="true" outlineLevel="0" collapsed="false">
      <c r="A37" s="27" t="s">
        <v>177</v>
      </c>
      <c r="B37" s="27" t="s">
        <v>191</v>
      </c>
      <c r="C37" s="28" t="s">
        <v>192</v>
      </c>
      <c r="D37" s="32" t="s">
        <v>110</v>
      </c>
      <c r="E37" s="29" t="s">
        <v>82</v>
      </c>
      <c r="F37" s="30" t="s">
        <v>15</v>
      </c>
      <c r="G37" s="31" t="s">
        <v>193</v>
      </c>
      <c r="H37" s="31" t="s">
        <v>194</v>
      </c>
    </row>
    <row r="38" customFormat="false" ht="46.5" hidden="false" customHeight="true" outlineLevel="0" collapsed="false">
      <c r="A38" s="27" t="s">
        <v>195</v>
      </c>
      <c r="B38" s="27" t="s">
        <v>196</v>
      </c>
      <c r="C38" s="28" t="s">
        <v>197</v>
      </c>
      <c r="D38" s="29" t="s">
        <v>198</v>
      </c>
      <c r="E38" s="29" t="s">
        <v>199</v>
      </c>
      <c r="F38" s="30" t="s">
        <v>15</v>
      </c>
      <c r="G38" s="31" t="s">
        <v>200</v>
      </c>
      <c r="H38" s="31" t="s">
        <v>201</v>
      </c>
    </row>
    <row r="39" customFormat="false" ht="33" hidden="false" customHeight="true" outlineLevel="0" collapsed="false">
      <c r="A39" s="27" t="s">
        <v>195</v>
      </c>
      <c r="B39" s="27" t="s">
        <v>202</v>
      </c>
      <c r="C39" s="28" t="s">
        <v>203</v>
      </c>
      <c r="D39" s="32" t="s">
        <v>110</v>
      </c>
      <c r="E39" s="29" t="s">
        <v>82</v>
      </c>
      <c r="F39" s="30" t="s">
        <v>15</v>
      </c>
      <c r="G39" s="31" t="s">
        <v>204</v>
      </c>
      <c r="H39" s="31" t="s">
        <v>205</v>
      </c>
    </row>
    <row r="40" customFormat="false" ht="33" hidden="false" customHeight="true" outlineLevel="0" collapsed="false">
      <c r="A40" s="27" t="s">
        <v>195</v>
      </c>
      <c r="B40" s="27" t="s">
        <v>206</v>
      </c>
      <c r="C40" s="28" t="s">
        <v>207</v>
      </c>
      <c r="D40" s="32" t="s">
        <v>110</v>
      </c>
      <c r="E40" s="29" t="s">
        <v>82</v>
      </c>
      <c r="F40" s="30" t="s">
        <v>15</v>
      </c>
      <c r="G40" s="31" t="s">
        <v>208</v>
      </c>
      <c r="H40" s="31" t="s">
        <v>205</v>
      </c>
    </row>
    <row r="41" customFormat="false" ht="73.5" hidden="false" customHeight="true" outlineLevel="0" collapsed="false">
      <c r="A41" s="27" t="s">
        <v>195</v>
      </c>
      <c r="B41" s="27" t="s">
        <v>209</v>
      </c>
      <c r="C41" s="28" t="s">
        <v>210</v>
      </c>
      <c r="D41" s="32" t="s">
        <v>110</v>
      </c>
      <c r="E41" s="29" t="s">
        <v>82</v>
      </c>
      <c r="F41" s="30" t="s">
        <v>15</v>
      </c>
      <c r="G41" s="31" t="s">
        <v>211</v>
      </c>
      <c r="H41" s="31" t="s">
        <v>205</v>
      </c>
    </row>
    <row r="42" customFormat="false" ht="46.5" hidden="false" customHeight="true" outlineLevel="0" collapsed="false">
      <c r="A42" s="27" t="s">
        <v>195</v>
      </c>
      <c r="B42" s="27" t="s">
        <v>212</v>
      </c>
      <c r="C42" s="28" t="s">
        <v>213</v>
      </c>
      <c r="D42" s="32" t="s">
        <v>110</v>
      </c>
      <c r="E42" s="29" t="s">
        <v>82</v>
      </c>
      <c r="F42" s="30" t="s">
        <v>15</v>
      </c>
      <c r="G42" s="31" t="s">
        <v>214</v>
      </c>
      <c r="H42" s="31" t="s">
        <v>205</v>
      </c>
    </row>
    <row r="43" customFormat="false" ht="60" hidden="false" customHeight="true" outlineLevel="0" collapsed="false">
      <c r="A43" s="27" t="s">
        <v>195</v>
      </c>
      <c r="B43" s="27" t="s">
        <v>215</v>
      </c>
      <c r="C43" s="28" t="s">
        <v>216</v>
      </c>
      <c r="D43" s="32" t="s">
        <v>110</v>
      </c>
      <c r="E43" s="29" t="s">
        <v>82</v>
      </c>
      <c r="F43" s="30" t="s">
        <v>15</v>
      </c>
      <c r="G43" s="31" t="s">
        <v>217</v>
      </c>
      <c r="H43" s="31" t="s">
        <v>218</v>
      </c>
    </row>
    <row r="44" customFormat="false" ht="46.5" hidden="false" customHeight="true" outlineLevel="0" collapsed="false">
      <c r="A44" s="27" t="s">
        <v>195</v>
      </c>
      <c r="B44" s="27" t="s">
        <v>219</v>
      </c>
      <c r="C44" s="28" t="s">
        <v>220</v>
      </c>
      <c r="D44" s="32" t="s">
        <v>110</v>
      </c>
      <c r="E44" s="29" t="s">
        <v>82</v>
      </c>
      <c r="F44" s="30" t="s">
        <v>15</v>
      </c>
      <c r="G44" s="31" t="s">
        <v>221</v>
      </c>
      <c r="H44" s="31" t="s">
        <v>124</v>
      </c>
    </row>
    <row r="45" customFormat="false" ht="87" hidden="false" customHeight="true" outlineLevel="0" collapsed="false">
      <c r="A45" s="27" t="s">
        <v>222</v>
      </c>
      <c r="B45" s="27" t="s">
        <v>223</v>
      </c>
      <c r="C45" s="28" t="s">
        <v>224</v>
      </c>
      <c r="D45" s="29" t="s">
        <v>225</v>
      </c>
      <c r="E45" s="29" t="s">
        <v>222</v>
      </c>
      <c r="F45" s="30" t="s">
        <v>17</v>
      </c>
      <c r="G45" s="31" t="s">
        <v>226</v>
      </c>
      <c r="H45" s="31" t="s">
        <v>182</v>
      </c>
    </row>
    <row r="46" customFormat="false" ht="18" hidden="false" customHeight="true" outlineLevel="0" collapsed="false">
      <c r="A46" s="26" t="s">
        <v>227</v>
      </c>
      <c r="B46" s="26"/>
      <c r="C46" s="26"/>
      <c r="D46" s="26"/>
      <c r="E46" s="26"/>
      <c r="F46" s="26"/>
      <c r="G46" s="26"/>
      <c r="H46" s="26"/>
    </row>
    <row r="47" customFormat="false" ht="60" hidden="false" customHeight="true" outlineLevel="0" collapsed="false">
      <c r="A47" s="27" t="s">
        <v>228</v>
      </c>
      <c r="B47" s="27" t="s">
        <v>229</v>
      </c>
      <c r="C47" s="28" t="s">
        <v>230</v>
      </c>
      <c r="D47" s="29" t="s">
        <v>230</v>
      </c>
      <c r="E47" s="29" t="s">
        <v>228</v>
      </c>
      <c r="F47" s="30" t="s">
        <v>21</v>
      </c>
      <c r="G47" s="31" t="s">
        <v>231</v>
      </c>
      <c r="H47" s="31" t="s">
        <v>82</v>
      </c>
    </row>
    <row r="48" customFormat="false" ht="73.5" hidden="false" customHeight="true" outlineLevel="0" collapsed="false">
      <c r="A48" s="27" t="s">
        <v>232</v>
      </c>
      <c r="B48" s="27" t="s">
        <v>233</v>
      </c>
      <c r="C48" s="28" t="s">
        <v>234</v>
      </c>
      <c r="D48" s="29" t="s">
        <v>235</v>
      </c>
      <c r="E48" s="29" t="s">
        <v>232</v>
      </c>
      <c r="F48" s="30" t="s">
        <v>17</v>
      </c>
      <c r="G48" s="31" t="s">
        <v>236</v>
      </c>
      <c r="H48" s="31" t="s">
        <v>82</v>
      </c>
    </row>
    <row r="49" customFormat="false" ht="60" hidden="false" customHeight="true" outlineLevel="0" collapsed="false">
      <c r="A49" s="27" t="s">
        <v>237</v>
      </c>
      <c r="B49" s="27" t="s">
        <v>238</v>
      </c>
      <c r="C49" s="28" t="s">
        <v>239</v>
      </c>
      <c r="D49" s="29" t="s">
        <v>240</v>
      </c>
      <c r="E49" s="29" t="s">
        <v>237</v>
      </c>
      <c r="F49" s="30" t="s">
        <v>17</v>
      </c>
      <c r="G49" s="31" t="s">
        <v>241</v>
      </c>
      <c r="H49" s="31" t="s">
        <v>82</v>
      </c>
    </row>
    <row r="50" customFormat="false" ht="60" hidden="false" customHeight="true" outlineLevel="0" collapsed="false">
      <c r="A50" s="27" t="s">
        <v>242</v>
      </c>
      <c r="B50" s="27" t="s">
        <v>243</v>
      </c>
      <c r="C50" s="28" t="s">
        <v>244</v>
      </c>
      <c r="D50" s="29" t="s">
        <v>245</v>
      </c>
      <c r="E50" s="29" t="s">
        <v>242</v>
      </c>
      <c r="F50" s="30" t="s">
        <v>17</v>
      </c>
      <c r="G50" s="31" t="s">
        <v>246</v>
      </c>
      <c r="H50" s="31" t="s">
        <v>82</v>
      </c>
    </row>
    <row r="51" customFormat="false" ht="33" hidden="false" customHeight="true" outlineLevel="0" collapsed="false">
      <c r="A51" s="27" t="s">
        <v>247</v>
      </c>
      <c r="B51" s="27" t="s">
        <v>248</v>
      </c>
      <c r="C51" s="28" t="s">
        <v>249</v>
      </c>
      <c r="D51" s="32" t="s">
        <v>110</v>
      </c>
      <c r="E51" s="29" t="s">
        <v>82</v>
      </c>
      <c r="F51" s="30" t="s">
        <v>15</v>
      </c>
      <c r="G51" s="31" t="s">
        <v>250</v>
      </c>
      <c r="H51" s="31" t="s">
        <v>251</v>
      </c>
    </row>
    <row r="52" customFormat="false" ht="46.5" hidden="false" customHeight="true" outlineLevel="0" collapsed="false">
      <c r="A52" s="27" t="s">
        <v>247</v>
      </c>
      <c r="B52" s="27" t="s">
        <v>252</v>
      </c>
      <c r="C52" s="28" t="s">
        <v>253</v>
      </c>
      <c r="D52" s="29" t="s">
        <v>254</v>
      </c>
      <c r="E52" s="29" t="s">
        <v>255</v>
      </c>
      <c r="F52" s="30" t="s">
        <v>15</v>
      </c>
      <c r="G52" s="31" t="s">
        <v>256</v>
      </c>
      <c r="H52" s="31" t="s">
        <v>257</v>
      </c>
    </row>
    <row r="53" customFormat="false" ht="46.5" hidden="false" customHeight="true" outlineLevel="0" collapsed="false">
      <c r="A53" s="27" t="s">
        <v>247</v>
      </c>
      <c r="B53" s="27" t="s">
        <v>258</v>
      </c>
      <c r="C53" s="28" t="s">
        <v>259</v>
      </c>
      <c r="D53" s="29" t="s">
        <v>260</v>
      </c>
      <c r="E53" s="29" t="s">
        <v>261</v>
      </c>
      <c r="F53" s="30" t="s">
        <v>17</v>
      </c>
      <c r="G53" s="31" t="s">
        <v>262</v>
      </c>
      <c r="H53" s="31" t="s">
        <v>257</v>
      </c>
    </row>
    <row r="54" customFormat="false" ht="46.5" hidden="false" customHeight="true" outlineLevel="0" collapsed="false">
      <c r="A54" s="27" t="s">
        <v>247</v>
      </c>
      <c r="B54" s="27" t="s">
        <v>263</v>
      </c>
      <c r="C54" s="28" t="s">
        <v>264</v>
      </c>
      <c r="D54" s="32" t="s">
        <v>110</v>
      </c>
      <c r="E54" s="29" t="s">
        <v>82</v>
      </c>
      <c r="F54" s="30" t="s">
        <v>15</v>
      </c>
      <c r="G54" s="31" t="s">
        <v>265</v>
      </c>
      <c r="H54" s="31" t="s">
        <v>257</v>
      </c>
    </row>
    <row r="55" customFormat="false" ht="33" hidden="false" customHeight="true" outlineLevel="0" collapsed="false">
      <c r="A55" s="27" t="s">
        <v>247</v>
      </c>
      <c r="B55" s="27" t="s">
        <v>266</v>
      </c>
      <c r="C55" s="28" t="s">
        <v>267</v>
      </c>
      <c r="D55" s="29" t="s">
        <v>268</v>
      </c>
      <c r="E55" s="29" t="s">
        <v>261</v>
      </c>
      <c r="F55" s="30" t="s">
        <v>17</v>
      </c>
      <c r="G55" s="31" t="s">
        <v>269</v>
      </c>
      <c r="H55" s="31" t="s">
        <v>257</v>
      </c>
    </row>
    <row r="56" customFormat="false" ht="46.5" hidden="false" customHeight="true" outlineLevel="0" collapsed="false">
      <c r="A56" s="27" t="s">
        <v>247</v>
      </c>
      <c r="B56" s="27" t="s">
        <v>270</v>
      </c>
      <c r="C56" s="28" t="s">
        <v>271</v>
      </c>
      <c r="D56" s="32" t="s">
        <v>110</v>
      </c>
      <c r="E56" s="29" t="s">
        <v>82</v>
      </c>
      <c r="F56" s="30" t="s">
        <v>15</v>
      </c>
      <c r="G56" s="31" t="s">
        <v>272</v>
      </c>
      <c r="H56" s="31" t="s">
        <v>257</v>
      </c>
    </row>
    <row r="57" customFormat="false" ht="33" hidden="false" customHeight="true" outlineLevel="0" collapsed="false">
      <c r="A57" s="27" t="s">
        <v>247</v>
      </c>
      <c r="B57" s="27" t="s">
        <v>273</v>
      </c>
      <c r="C57" s="28" t="s">
        <v>274</v>
      </c>
      <c r="D57" s="29" t="s">
        <v>275</v>
      </c>
      <c r="E57" s="29" t="s">
        <v>242</v>
      </c>
      <c r="F57" s="30" t="s">
        <v>17</v>
      </c>
      <c r="G57" s="31" t="s">
        <v>276</v>
      </c>
      <c r="H57" s="31" t="s">
        <v>257</v>
      </c>
    </row>
    <row r="58" customFormat="false" ht="33" hidden="false" customHeight="true" outlineLevel="0" collapsed="false">
      <c r="A58" s="27" t="s">
        <v>247</v>
      </c>
      <c r="B58" s="27" t="s">
        <v>277</v>
      </c>
      <c r="C58" s="28" t="s">
        <v>278</v>
      </c>
      <c r="D58" s="29" t="s">
        <v>279</v>
      </c>
      <c r="E58" s="29" t="s">
        <v>280</v>
      </c>
      <c r="F58" s="30" t="s">
        <v>17</v>
      </c>
      <c r="G58" s="31" t="s">
        <v>281</v>
      </c>
      <c r="H58" s="31" t="s">
        <v>257</v>
      </c>
    </row>
    <row r="59" customFormat="false" ht="33" hidden="false" customHeight="true" outlineLevel="0" collapsed="false">
      <c r="A59" s="27" t="s">
        <v>247</v>
      </c>
      <c r="B59" s="27" t="s">
        <v>282</v>
      </c>
      <c r="C59" s="28" t="s">
        <v>283</v>
      </c>
      <c r="D59" s="32" t="s">
        <v>110</v>
      </c>
      <c r="E59" s="29" t="s">
        <v>82</v>
      </c>
      <c r="F59" s="30" t="s">
        <v>15</v>
      </c>
      <c r="G59" s="31" t="s">
        <v>284</v>
      </c>
      <c r="H59" s="31" t="s">
        <v>285</v>
      </c>
    </row>
    <row r="60" customFormat="false" ht="73.5" hidden="false" customHeight="true" outlineLevel="0" collapsed="false">
      <c r="A60" s="27" t="s">
        <v>286</v>
      </c>
      <c r="B60" s="27" t="s">
        <v>287</v>
      </c>
      <c r="C60" s="28" t="s">
        <v>288</v>
      </c>
      <c r="D60" s="29" t="s">
        <v>289</v>
      </c>
      <c r="E60" s="29" t="s">
        <v>261</v>
      </c>
      <c r="F60" s="30" t="s">
        <v>15</v>
      </c>
      <c r="G60" s="31" t="s">
        <v>290</v>
      </c>
      <c r="H60" s="31" t="s">
        <v>291</v>
      </c>
    </row>
    <row r="61" customFormat="false" ht="46.5" hidden="false" customHeight="true" outlineLevel="0" collapsed="false">
      <c r="A61" s="27" t="s">
        <v>292</v>
      </c>
      <c r="B61" s="27" t="s">
        <v>293</v>
      </c>
      <c r="C61" s="28" t="s">
        <v>294</v>
      </c>
      <c r="D61" s="32" t="s">
        <v>110</v>
      </c>
      <c r="E61" s="29" t="s">
        <v>82</v>
      </c>
      <c r="F61" s="30" t="s">
        <v>15</v>
      </c>
      <c r="G61" s="31" t="s">
        <v>295</v>
      </c>
      <c r="H61" s="31" t="s">
        <v>124</v>
      </c>
    </row>
    <row r="62" customFormat="false" ht="60" hidden="false" customHeight="true" outlineLevel="0" collapsed="false">
      <c r="A62" s="27" t="s">
        <v>292</v>
      </c>
      <c r="B62" s="27" t="s">
        <v>296</v>
      </c>
      <c r="C62" s="28" t="s">
        <v>297</v>
      </c>
      <c r="D62" s="32" t="s">
        <v>110</v>
      </c>
      <c r="E62" s="29" t="s">
        <v>82</v>
      </c>
      <c r="F62" s="30" t="s">
        <v>15</v>
      </c>
      <c r="G62" s="31" t="s">
        <v>298</v>
      </c>
      <c r="H62" s="31" t="s">
        <v>124</v>
      </c>
    </row>
    <row r="63" customFormat="false" ht="60" hidden="false" customHeight="true" outlineLevel="0" collapsed="false">
      <c r="A63" s="27" t="s">
        <v>299</v>
      </c>
      <c r="B63" s="27" t="s">
        <v>300</v>
      </c>
      <c r="C63" s="28" t="s">
        <v>301</v>
      </c>
      <c r="D63" s="29" t="s">
        <v>301</v>
      </c>
      <c r="E63" s="29" t="s">
        <v>299</v>
      </c>
      <c r="F63" s="30" t="s">
        <v>21</v>
      </c>
      <c r="G63" s="31" t="s">
        <v>82</v>
      </c>
      <c r="H63" s="31" t="s">
        <v>82</v>
      </c>
    </row>
    <row r="64" customFormat="false" ht="46.5" hidden="false" customHeight="true" outlineLevel="0" collapsed="false">
      <c r="A64" s="27" t="s">
        <v>299</v>
      </c>
      <c r="B64" s="27" t="s">
        <v>302</v>
      </c>
      <c r="C64" s="28" t="s">
        <v>303</v>
      </c>
      <c r="D64" s="29" t="s">
        <v>304</v>
      </c>
      <c r="E64" s="29" t="s">
        <v>299</v>
      </c>
      <c r="F64" s="30" t="s">
        <v>21</v>
      </c>
      <c r="G64" s="31" t="s">
        <v>304</v>
      </c>
      <c r="H64" s="31" t="s">
        <v>82</v>
      </c>
    </row>
    <row r="65" customFormat="false" ht="18" hidden="false" customHeight="true" outlineLevel="0" collapsed="false">
      <c r="A65" s="26" t="s">
        <v>305</v>
      </c>
      <c r="B65" s="26"/>
      <c r="C65" s="26"/>
      <c r="D65" s="26"/>
      <c r="E65" s="26"/>
      <c r="F65" s="26"/>
      <c r="G65" s="26"/>
      <c r="H65" s="26"/>
    </row>
    <row r="66" customFormat="false" ht="46.5" hidden="false" customHeight="true" outlineLevel="0" collapsed="false">
      <c r="A66" s="27" t="s">
        <v>306</v>
      </c>
      <c r="B66" s="27" t="s">
        <v>307</v>
      </c>
      <c r="C66" s="28" t="s">
        <v>308</v>
      </c>
      <c r="D66" s="29" t="s">
        <v>309</v>
      </c>
      <c r="E66" s="29" t="s">
        <v>306</v>
      </c>
      <c r="F66" s="30" t="s">
        <v>21</v>
      </c>
      <c r="G66" s="31" t="s">
        <v>310</v>
      </c>
      <c r="H66" s="31" t="s">
        <v>82</v>
      </c>
    </row>
    <row r="67" customFormat="false" ht="60" hidden="false" customHeight="true" outlineLevel="0" collapsed="false">
      <c r="A67" s="27" t="s">
        <v>311</v>
      </c>
      <c r="B67" s="27" t="s">
        <v>312</v>
      </c>
      <c r="C67" s="28" t="s">
        <v>313</v>
      </c>
      <c r="D67" s="29" t="s">
        <v>313</v>
      </c>
      <c r="E67" s="29" t="s">
        <v>311</v>
      </c>
      <c r="F67" s="30" t="s">
        <v>21</v>
      </c>
      <c r="G67" s="31" t="s">
        <v>314</v>
      </c>
      <c r="H67" s="31" t="s">
        <v>82</v>
      </c>
    </row>
    <row r="68" customFormat="false" ht="73.5" hidden="false" customHeight="true" outlineLevel="0" collapsed="false">
      <c r="A68" s="27" t="s">
        <v>315</v>
      </c>
      <c r="B68" s="27" t="s">
        <v>316</v>
      </c>
      <c r="C68" s="28" t="s">
        <v>317</v>
      </c>
      <c r="D68" s="29" t="s">
        <v>317</v>
      </c>
      <c r="E68" s="29" t="s">
        <v>315</v>
      </c>
      <c r="F68" s="30" t="s">
        <v>21</v>
      </c>
      <c r="G68" s="31" t="s">
        <v>82</v>
      </c>
      <c r="H68" s="31" t="s">
        <v>82</v>
      </c>
    </row>
    <row r="69" customFormat="false" ht="18" hidden="false" customHeight="true" outlineLevel="0" collapsed="false">
      <c r="A69" s="26" t="s">
        <v>318</v>
      </c>
      <c r="B69" s="26"/>
      <c r="C69" s="26"/>
      <c r="D69" s="26"/>
      <c r="E69" s="26"/>
      <c r="F69" s="26"/>
      <c r="G69" s="26"/>
      <c r="H69" s="26"/>
    </row>
    <row r="70" customFormat="false" ht="60" hidden="false" customHeight="true" outlineLevel="0" collapsed="false">
      <c r="A70" s="27" t="s">
        <v>319</v>
      </c>
      <c r="B70" s="27" t="s">
        <v>320</v>
      </c>
      <c r="C70" s="28" t="s">
        <v>321</v>
      </c>
      <c r="D70" s="29" t="s">
        <v>322</v>
      </c>
      <c r="E70" s="29" t="s">
        <v>319</v>
      </c>
      <c r="F70" s="30" t="s">
        <v>17</v>
      </c>
      <c r="G70" s="31" t="s">
        <v>323</v>
      </c>
      <c r="H70" s="31" t="s">
        <v>324</v>
      </c>
    </row>
    <row r="71" customFormat="false" ht="87" hidden="false" customHeight="true" outlineLevel="0" collapsed="false">
      <c r="A71" s="27" t="s">
        <v>325</v>
      </c>
      <c r="B71" s="27" t="s">
        <v>326</v>
      </c>
      <c r="C71" s="28" t="s">
        <v>327</v>
      </c>
      <c r="D71" s="29" t="s">
        <v>328</v>
      </c>
      <c r="E71" s="29" t="s">
        <v>325</v>
      </c>
      <c r="F71" s="30" t="s">
        <v>21</v>
      </c>
      <c r="G71" s="31" t="s">
        <v>82</v>
      </c>
      <c r="H71" s="31" t="s">
        <v>82</v>
      </c>
    </row>
    <row r="72" customFormat="false" ht="33" hidden="false" customHeight="true" outlineLevel="0" collapsed="false">
      <c r="A72" s="27" t="s">
        <v>329</v>
      </c>
      <c r="B72" s="27" t="s">
        <v>330</v>
      </c>
      <c r="C72" s="28" t="s">
        <v>331</v>
      </c>
      <c r="D72" s="29" t="s">
        <v>332</v>
      </c>
      <c r="E72" s="29" t="s">
        <v>329</v>
      </c>
      <c r="F72" s="30" t="s">
        <v>21</v>
      </c>
      <c r="G72" s="31" t="s">
        <v>333</v>
      </c>
      <c r="H72" s="31" t="s">
        <v>82</v>
      </c>
    </row>
    <row r="73" customFormat="false" ht="46.5" hidden="false" customHeight="true" outlineLevel="0" collapsed="false">
      <c r="A73" s="27" t="s">
        <v>261</v>
      </c>
      <c r="B73" s="27" t="s">
        <v>334</v>
      </c>
      <c r="C73" s="28" t="s">
        <v>335</v>
      </c>
      <c r="D73" s="29" t="s">
        <v>336</v>
      </c>
      <c r="E73" s="29" t="s">
        <v>261</v>
      </c>
      <c r="F73" s="30" t="s">
        <v>21</v>
      </c>
      <c r="G73" s="31" t="s">
        <v>337</v>
      </c>
      <c r="H73" s="31" t="s">
        <v>82</v>
      </c>
    </row>
    <row r="74" customFormat="false" ht="19.5" hidden="false" customHeight="true" outlineLevel="0" collapsed="false">
      <c r="A74" s="27" t="s">
        <v>338</v>
      </c>
      <c r="B74" s="27" t="s">
        <v>339</v>
      </c>
      <c r="C74" s="28" t="s">
        <v>340</v>
      </c>
      <c r="D74" s="29" t="s">
        <v>341</v>
      </c>
      <c r="E74" s="29" t="s">
        <v>338</v>
      </c>
      <c r="F74" s="30" t="s">
        <v>21</v>
      </c>
      <c r="G74" s="31" t="s">
        <v>82</v>
      </c>
      <c r="H74" s="31" t="s">
        <v>82</v>
      </c>
    </row>
    <row r="75" customFormat="false" ht="18" hidden="false" customHeight="true" outlineLevel="0" collapsed="false">
      <c r="A75" s="26" t="s">
        <v>342</v>
      </c>
      <c r="B75" s="26"/>
      <c r="C75" s="26"/>
      <c r="D75" s="26"/>
      <c r="E75" s="26"/>
      <c r="F75" s="26"/>
      <c r="G75" s="26"/>
      <c r="H75" s="26"/>
    </row>
    <row r="76" customFormat="false" ht="100.5" hidden="false" customHeight="true" outlineLevel="0" collapsed="false">
      <c r="A76" s="27" t="s">
        <v>199</v>
      </c>
      <c r="B76" s="27" t="s">
        <v>343</v>
      </c>
      <c r="C76" s="28" t="s">
        <v>344</v>
      </c>
      <c r="D76" s="29" t="s">
        <v>345</v>
      </c>
      <c r="E76" s="29" t="s">
        <v>199</v>
      </c>
      <c r="F76" s="30" t="s">
        <v>17</v>
      </c>
      <c r="G76" s="31" t="s">
        <v>346</v>
      </c>
      <c r="H76" s="31" t="s">
        <v>182</v>
      </c>
    </row>
    <row r="77" customFormat="false" ht="60" hidden="false" customHeight="true" outlineLevel="0" collapsed="false">
      <c r="A77" s="27" t="s">
        <v>347</v>
      </c>
      <c r="B77" s="27" t="s">
        <v>348</v>
      </c>
      <c r="C77" s="28" t="s">
        <v>349</v>
      </c>
      <c r="D77" s="29" t="s">
        <v>350</v>
      </c>
      <c r="E77" s="29" t="s">
        <v>347</v>
      </c>
      <c r="F77" s="30" t="s">
        <v>17</v>
      </c>
      <c r="G77" s="31" t="s">
        <v>351</v>
      </c>
      <c r="H77" s="31" t="s">
        <v>82</v>
      </c>
    </row>
    <row r="78" customFormat="false" ht="60" hidden="false" customHeight="true" outlineLevel="0" collapsed="false">
      <c r="A78" s="27" t="s">
        <v>352</v>
      </c>
      <c r="B78" s="27" t="s">
        <v>353</v>
      </c>
      <c r="C78" s="28" t="s">
        <v>354</v>
      </c>
      <c r="D78" s="29" t="s">
        <v>355</v>
      </c>
      <c r="E78" s="29" t="s">
        <v>352</v>
      </c>
      <c r="F78" s="30" t="s">
        <v>17</v>
      </c>
      <c r="G78" s="31" t="s">
        <v>356</v>
      </c>
      <c r="H78" s="31" t="s">
        <v>82</v>
      </c>
    </row>
  </sheetData>
  <autoFilter ref="A4:H78"/>
  <mergeCells count="14">
    <mergeCell ref="A1:H1"/>
    <mergeCell ref="A2:H2"/>
    <mergeCell ref="A3:C3"/>
    <mergeCell ref="D3:E3"/>
    <mergeCell ref="F3:H3"/>
    <mergeCell ref="A5:H5"/>
    <mergeCell ref="A10:H10"/>
    <mergeCell ref="A13:H13"/>
    <mergeCell ref="A18:H18"/>
    <mergeCell ref="A22:H22"/>
    <mergeCell ref="A46:H46"/>
    <mergeCell ref="A65:H65"/>
    <mergeCell ref="A69:H69"/>
    <mergeCell ref="A75:H75"/>
  </mergeCells>
  <conditionalFormatting sqref="F5:F78">
    <cfRule type="expression" priority="2" aboveAverage="0" equalAverage="0" bottom="0" percent="0" rank="0" text="" dxfId="15">
      <formula>ISNUMBER(SEARCH("New",$F5))</formula>
    </cfRule>
    <cfRule type="expression" priority="3" aboveAverage="0" equalAverage="0" bottom="0" percent="0" rank="0" text="" dxfId="16">
      <formula>ISNUMBER(SEARCH("Modified",$F5))</formula>
    </cfRule>
    <cfRule type="expression" priority="4" aboveAverage="0" equalAverage="0" bottom="0" percent="0" rank="0" text="" dxfId="17">
      <formula>ISNUMBER(SEARCH("Removed",$F5))</formula>
    </cfRule>
    <cfRule type="expression" priority="5" aboveAverage="0" equalAverage="0" bottom="0" percent="0" rank="0" text="" dxfId="18">
      <formula>ISNUMBER(SEARCH("Unchanged",$F5))</formula>
    </cfRule>
    <cfRule type="expression" priority="6" aboveAverage="0" equalAverage="0" bottom="0" percent="0" rank="0" text="" dxfId="19">
      <formula>ISNUMBER(SEARCH("Renumbered",$F5))</formula>
    </cfRule>
  </conditionalFormatting>
  <dataValidations count="1">
    <dataValidation allowBlank="true" errorStyle="stop" operator="between" showDropDown="false" showErrorMessage="false" showInputMessage="false" sqref="F5:F78" type="list">
      <formula1>"New,Modified,Removed,Unchanged"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17"/>
    <col collapsed="false" customWidth="true" hidden="false" outlineLevel="0" max="6" min="5" style="0" width="11"/>
    <col collapsed="false" customWidth="true" hidden="false" outlineLevel="0" max="7" min="7" style="0" width="3"/>
    <col collapsed="false" customWidth="true" hidden="false" outlineLevel="0" max="8" min="8" style="0" width="13"/>
    <col collapsed="false" customWidth="true" hidden="false" outlineLevel="0" max="9" min="9" style="0" width="10"/>
    <col collapsed="false" customWidth="true" hidden="false" outlineLevel="0" max="11" min="10" style="0" width="11"/>
    <col collapsed="false" customWidth="true" hidden="false" outlineLevel="0" max="12" min="12" style="0" width="10"/>
    <col collapsed="false" customWidth="true" hidden="false" outlineLevel="0" max="13" min="13" style="0" width="13"/>
    <col collapsed="false" customWidth="true" hidden="false" outlineLevel="0" max="14" min="14" style="0" width="14"/>
    <col collapsed="false" customWidth="true" hidden="false" outlineLevel="0" max="15" min="15" style="0" width="46"/>
  </cols>
  <sheetData>
    <row r="1" customFormat="false" ht="24" hidden="false" customHeight="true" outlineLevel="0" collapsed="false">
      <c r="A1" s="20" t="s">
        <v>357</v>
      </c>
      <c r="B1" s="20"/>
      <c r="C1" s="20"/>
      <c r="D1" s="20"/>
      <c r="E1" s="20"/>
      <c r="F1" s="20"/>
      <c r="G1" s="20"/>
      <c r="H1" s="20"/>
      <c r="I1" s="20"/>
      <c r="J1" s="20"/>
      <c r="K1" s="20"/>
      <c r="L1" s="20"/>
      <c r="M1" s="20"/>
      <c r="N1" s="20"/>
      <c r="O1" s="20"/>
    </row>
    <row r="2" customFormat="false" ht="30" hidden="false" customHeight="true" outlineLevel="0" collapsed="false">
      <c r="A2" s="19" t="s">
        <v>358</v>
      </c>
      <c r="B2" s="19"/>
      <c r="C2" s="19"/>
      <c r="D2" s="19"/>
      <c r="E2" s="19"/>
      <c r="F2" s="19"/>
      <c r="G2" s="19"/>
      <c r="H2" s="19"/>
      <c r="I2" s="19"/>
      <c r="J2" s="19"/>
      <c r="K2" s="19"/>
      <c r="L2" s="19"/>
      <c r="M2" s="19"/>
      <c r="N2" s="19"/>
      <c r="O2" s="19"/>
    </row>
    <row r="3" customFormat="false" ht="15" hidden="false" customHeight="true" outlineLevel="0" collapsed="false">
      <c r="A3" s="21" t="s">
        <v>359</v>
      </c>
      <c r="B3" s="21"/>
      <c r="C3" s="21"/>
      <c r="D3" s="21"/>
      <c r="E3" s="21"/>
      <c r="F3" s="21"/>
      <c r="H3" s="22" t="s">
        <v>360</v>
      </c>
      <c r="I3" s="22"/>
      <c r="J3" s="22"/>
      <c r="K3" s="22"/>
      <c r="L3" s="22"/>
      <c r="M3" s="22"/>
      <c r="N3" s="23" t="s">
        <v>60</v>
      </c>
      <c r="O3" s="23"/>
    </row>
    <row r="4" customFormat="false" ht="31.5" hidden="false" customHeight="true" outlineLevel="0" collapsed="false">
      <c r="A4" s="24" t="s">
        <v>361</v>
      </c>
      <c r="B4" s="24" t="s">
        <v>362</v>
      </c>
      <c r="C4" s="24" t="s">
        <v>363</v>
      </c>
      <c r="D4" s="24" t="s">
        <v>364</v>
      </c>
      <c r="E4" s="24" t="s">
        <v>365</v>
      </c>
      <c r="F4" s="24" t="s">
        <v>366</v>
      </c>
      <c r="G4" s="33"/>
      <c r="H4" s="25" t="s">
        <v>367</v>
      </c>
      <c r="I4" s="25" t="s">
        <v>362</v>
      </c>
      <c r="J4" s="25" t="s">
        <v>363</v>
      </c>
      <c r="K4" s="25" t="s">
        <v>368</v>
      </c>
      <c r="L4" s="25" t="s">
        <v>365</v>
      </c>
      <c r="M4" s="25" t="s">
        <v>366</v>
      </c>
      <c r="N4" s="6" t="s">
        <v>9</v>
      </c>
      <c r="O4" s="6" t="s">
        <v>369</v>
      </c>
    </row>
    <row r="5" customFormat="false" ht="19.5" hidden="false" customHeight="true" outlineLevel="0" collapsed="false">
      <c r="A5" s="34" t="s">
        <v>90</v>
      </c>
      <c r="B5" s="34" t="s">
        <v>370</v>
      </c>
      <c r="C5" s="34" t="s">
        <v>371</v>
      </c>
      <c r="D5" s="34" t="s">
        <v>372</v>
      </c>
      <c r="E5" s="34" t="s">
        <v>373</v>
      </c>
      <c r="F5" s="34" t="s">
        <v>374</v>
      </c>
      <c r="G5" s="35"/>
      <c r="H5" s="36" t="s">
        <v>375</v>
      </c>
      <c r="I5" s="37"/>
      <c r="J5" s="37"/>
      <c r="K5" s="37"/>
      <c r="L5" s="37"/>
      <c r="M5" s="37"/>
      <c r="N5" s="38" t="s">
        <v>15</v>
      </c>
      <c r="O5" s="31" t="s">
        <v>376</v>
      </c>
    </row>
    <row r="6" customFormat="false" ht="19.5" hidden="false" customHeight="true" outlineLevel="0" collapsed="false">
      <c r="A6" s="34" t="s">
        <v>377</v>
      </c>
      <c r="B6" s="34" t="s">
        <v>378</v>
      </c>
      <c r="C6" s="34" t="s">
        <v>371</v>
      </c>
      <c r="D6" s="34" t="s">
        <v>372</v>
      </c>
      <c r="E6" s="34" t="s">
        <v>379</v>
      </c>
      <c r="F6" s="34" t="s">
        <v>380</v>
      </c>
      <c r="G6" s="35"/>
      <c r="H6" s="36" t="s">
        <v>375</v>
      </c>
      <c r="I6" s="37"/>
      <c r="J6" s="37"/>
      <c r="K6" s="37"/>
      <c r="L6" s="37"/>
      <c r="M6" s="37"/>
      <c r="N6" s="38" t="s">
        <v>15</v>
      </c>
      <c r="O6" s="31" t="s">
        <v>381</v>
      </c>
    </row>
    <row r="7" customFormat="false" ht="19.5" hidden="false" customHeight="true" outlineLevel="0" collapsed="false">
      <c r="A7" s="34" t="s">
        <v>382</v>
      </c>
      <c r="B7" s="34" t="s">
        <v>383</v>
      </c>
      <c r="C7" s="34" t="s">
        <v>371</v>
      </c>
      <c r="D7" s="34" t="s">
        <v>372</v>
      </c>
      <c r="E7" s="34" t="s">
        <v>384</v>
      </c>
      <c r="F7" s="34" t="s">
        <v>385</v>
      </c>
      <c r="G7" s="35"/>
      <c r="H7" s="36" t="s">
        <v>375</v>
      </c>
      <c r="I7" s="37"/>
      <c r="J7" s="37"/>
      <c r="K7" s="37"/>
      <c r="L7" s="37"/>
      <c r="M7" s="37"/>
      <c r="N7" s="38" t="s">
        <v>15</v>
      </c>
      <c r="O7" s="31" t="s">
        <v>386</v>
      </c>
    </row>
    <row r="8" customFormat="false" ht="33" hidden="false" customHeight="true" outlineLevel="0" collapsed="false">
      <c r="A8" s="34" t="s">
        <v>387</v>
      </c>
      <c r="B8" s="34" t="s">
        <v>388</v>
      </c>
      <c r="C8" s="34" t="s">
        <v>371</v>
      </c>
      <c r="D8" s="34" t="s">
        <v>372</v>
      </c>
      <c r="E8" s="34" t="s">
        <v>389</v>
      </c>
      <c r="F8" s="34" t="s">
        <v>390</v>
      </c>
      <c r="G8" s="35"/>
      <c r="H8" s="37" t="s">
        <v>391</v>
      </c>
      <c r="I8" s="37" t="s">
        <v>388</v>
      </c>
      <c r="J8" s="37" t="s">
        <v>392</v>
      </c>
      <c r="K8" s="37" t="s">
        <v>393</v>
      </c>
      <c r="L8" s="37" t="s">
        <v>394</v>
      </c>
      <c r="M8" s="37" t="s">
        <v>390</v>
      </c>
      <c r="N8" s="38" t="s">
        <v>17</v>
      </c>
      <c r="O8" s="31" t="s">
        <v>395</v>
      </c>
    </row>
    <row r="9" customFormat="false" ht="33" hidden="false" customHeight="true" outlineLevel="0" collapsed="false">
      <c r="A9" s="34" t="s">
        <v>396</v>
      </c>
      <c r="B9" s="34" t="s">
        <v>397</v>
      </c>
      <c r="C9" s="34" t="s">
        <v>398</v>
      </c>
      <c r="D9" s="34" t="s">
        <v>399</v>
      </c>
      <c r="E9" s="34" t="s">
        <v>400</v>
      </c>
      <c r="F9" s="34" t="s">
        <v>401</v>
      </c>
      <c r="G9" s="35"/>
      <c r="H9" s="37" t="s">
        <v>402</v>
      </c>
      <c r="I9" s="37" t="s">
        <v>397</v>
      </c>
      <c r="J9" s="37" t="s">
        <v>403</v>
      </c>
      <c r="K9" s="37" t="s">
        <v>393</v>
      </c>
      <c r="L9" s="37" t="s">
        <v>400</v>
      </c>
      <c r="M9" s="37" t="s">
        <v>401</v>
      </c>
      <c r="N9" s="38" t="s">
        <v>21</v>
      </c>
      <c r="O9" s="31" t="s">
        <v>404</v>
      </c>
    </row>
    <row r="10" customFormat="false" ht="19.5" hidden="false" customHeight="true" outlineLevel="0" collapsed="false">
      <c r="A10" s="34" t="s">
        <v>405</v>
      </c>
      <c r="B10" s="34" t="s">
        <v>406</v>
      </c>
      <c r="C10" s="34" t="s">
        <v>398</v>
      </c>
      <c r="D10" s="34" t="s">
        <v>399</v>
      </c>
      <c r="E10" s="34" t="s">
        <v>407</v>
      </c>
      <c r="F10" s="34" t="s">
        <v>408</v>
      </c>
      <c r="G10" s="35"/>
      <c r="H10" s="37" t="s">
        <v>409</v>
      </c>
      <c r="I10" s="37" t="s">
        <v>406</v>
      </c>
      <c r="J10" s="37" t="s">
        <v>403</v>
      </c>
      <c r="K10" s="37" t="s">
        <v>393</v>
      </c>
      <c r="L10" s="37" t="s">
        <v>410</v>
      </c>
      <c r="M10" s="37" t="s">
        <v>408</v>
      </c>
      <c r="N10" s="38" t="s">
        <v>21</v>
      </c>
      <c r="O10" s="31" t="s">
        <v>411</v>
      </c>
    </row>
    <row r="11" customFormat="false" ht="19.5" hidden="false" customHeight="true" outlineLevel="0" collapsed="false">
      <c r="A11" s="34" t="s">
        <v>412</v>
      </c>
      <c r="B11" s="34" t="s">
        <v>413</v>
      </c>
      <c r="C11" s="34" t="s">
        <v>398</v>
      </c>
      <c r="D11" s="34" t="s">
        <v>399</v>
      </c>
      <c r="E11" s="34" t="s">
        <v>414</v>
      </c>
      <c r="F11" s="34" t="s">
        <v>415</v>
      </c>
      <c r="G11" s="35"/>
      <c r="H11" s="37" t="s">
        <v>416</v>
      </c>
      <c r="I11" s="37" t="s">
        <v>371</v>
      </c>
      <c r="J11" s="37" t="s">
        <v>403</v>
      </c>
      <c r="K11" s="37" t="s">
        <v>393</v>
      </c>
      <c r="L11" s="37" t="s">
        <v>417</v>
      </c>
      <c r="M11" s="37" t="s">
        <v>415</v>
      </c>
      <c r="N11" s="38" t="s">
        <v>21</v>
      </c>
      <c r="O11" s="31" t="s">
        <v>411</v>
      </c>
    </row>
    <row r="12" customFormat="false" ht="19.5" hidden="false" customHeight="true" outlineLevel="0" collapsed="false">
      <c r="A12" s="34" t="s">
        <v>418</v>
      </c>
      <c r="B12" s="34" t="s">
        <v>419</v>
      </c>
      <c r="C12" s="34" t="s">
        <v>420</v>
      </c>
      <c r="D12" s="34" t="s">
        <v>421</v>
      </c>
      <c r="E12" s="34" t="s">
        <v>384</v>
      </c>
      <c r="F12" s="34" t="s">
        <v>385</v>
      </c>
      <c r="G12" s="35"/>
      <c r="H12" s="37" t="s">
        <v>422</v>
      </c>
      <c r="I12" s="37" t="s">
        <v>423</v>
      </c>
      <c r="J12" s="37" t="s">
        <v>424</v>
      </c>
      <c r="K12" s="37" t="s">
        <v>425</v>
      </c>
      <c r="L12" s="37" t="s">
        <v>384</v>
      </c>
      <c r="M12" s="37" t="s">
        <v>385</v>
      </c>
      <c r="N12" s="38" t="s">
        <v>21</v>
      </c>
      <c r="O12" s="31" t="s">
        <v>411</v>
      </c>
    </row>
    <row r="13" customFormat="false" ht="19.5" hidden="false" customHeight="true" outlineLevel="0" collapsed="false">
      <c r="A13" s="34" t="s">
        <v>426</v>
      </c>
      <c r="B13" s="34" t="s">
        <v>427</v>
      </c>
      <c r="C13" s="34" t="s">
        <v>420</v>
      </c>
      <c r="D13" s="34" t="s">
        <v>421</v>
      </c>
      <c r="E13" s="34" t="s">
        <v>389</v>
      </c>
      <c r="F13" s="34" t="s">
        <v>390</v>
      </c>
      <c r="G13" s="35"/>
      <c r="H13" s="37" t="s">
        <v>428</v>
      </c>
      <c r="I13" s="37" t="s">
        <v>429</v>
      </c>
      <c r="J13" s="37" t="s">
        <v>424</v>
      </c>
      <c r="K13" s="37" t="s">
        <v>425</v>
      </c>
      <c r="L13" s="37" t="s">
        <v>394</v>
      </c>
      <c r="M13" s="37" t="s">
        <v>390</v>
      </c>
      <c r="N13" s="38" t="s">
        <v>21</v>
      </c>
      <c r="O13" s="31" t="s">
        <v>411</v>
      </c>
    </row>
    <row r="14" customFormat="false" ht="19.5" hidden="false" customHeight="true" outlineLevel="0" collapsed="false">
      <c r="A14" s="34" t="s">
        <v>430</v>
      </c>
      <c r="B14" s="34" t="s">
        <v>431</v>
      </c>
      <c r="C14" s="34" t="s">
        <v>420</v>
      </c>
      <c r="D14" s="34" t="s">
        <v>421</v>
      </c>
      <c r="E14" s="34" t="s">
        <v>400</v>
      </c>
      <c r="F14" s="34" t="s">
        <v>401</v>
      </c>
      <c r="G14" s="35"/>
      <c r="H14" s="37" t="s">
        <v>432</v>
      </c>
      <c r="I14" s="37" t="s">
        <v>433</v>
      </c>
      <c r="J14" s="37" t="s">
        <v>424</v>
      </c>
      <c r="K14" s="37" t="s">
        <v>425</v>
      </c>
      <c r="L14" s="37" t="s">
        <v>400</v>
      </c>
      <c r="M14" s="37" t="s">
        <v>401</v>
      </c>
      <c r="N14" s="38" t="s">
        <v>21</v>
      </c>
      <c r="O14" s="31" t="s">
        <v>411</v>
      </c>
    </row>
    <row r="15" customFormat="false" ht="19.5" hidden="false" customHeight="true" outlineLevel="0" collapsed="false">
      <c r="A15" s="34" t="s">
        <v>434</v>
      </c>
      <c r="B15" s="34" t="s">
        <v>435</v>
      </c>
      <c r="C15" s="34" t="s">
        <v>420</v>
      </c>
      <c r="D15" s="34" t="s">
        <v>421</v>
      </c>
      <c r="E15" s="34" t="s">
        <v>407</v>
      </c>
      <c r="F15" s="34" t="s">
        <v>408</v>
      </c>
      <c r="G15" s="35"/>
      <c r="H15" s="37" t="s">
        <v>436</v>
      </c>
      <c r="I15" s="37" t="s">
        <v>437</v>
      </c>
      <c r="J15" s="37" t="s">
        <v>424</v>
      </c>
      <c r="K15" s="37" t="s">
        <v>425</v>
      </c>
      <c r="L15" s="37" t="s">
        <v>410</v>
      </c>
      <c r="M15" s="37" t="s">
        <v>408</v>
      </c>
      <c r="N15" s="38" t="s">
        <v>21</v>
      </c>
      <c r="O15" s="31" t="s">
        <v>411</v>
      </c>
    </row>
    <row r="17" customFormat="false" ht="15" hidden="false" customHeight="true" outlineLevel="0" collapsed="false">
      <c r="A17" s="39" t="s">
        <v>438</v>
      </c>
      <c r="B17" s="39"/>
      <c r="C17" s="39"/>
      <c r="D17" s="39"/>
      <c r="E17" s="39"/>
      <c r="F17" s="39"/>
      <c r="G17" s="39"/>
      <c r="H17" s="39"/>
      <c r="I17" s="39"/>
      <c r="J17" s="39"/>
      <c r="K17" s="39"/>
      <c r="L17" s="39"/>
      <c r="M17" s="39"/>
      <c r="N17" s="39"/>
      <c r="O17" s="39"/>
    </row>
    <row r="18" customFormat="false" ht="25.5" hidden="false" customHeight="true" outlineLevel="0" collapsed="false">
      <c r="A18" s="40" t="s">
        <v>439</v>
      </c>
      <c r="B18" s="40"/>
      <c r="C18" s="40"/>
      <c r="D18" s="40"/>
      <c r="E18" s="40"/>
      <c r="F18" s="40"/>
      <c r="G18" s="40"/>
      <c r="H18" s="40"/>
      <c r="I18" s="40"/>
      <c r="J18" s="40"/>
      <c r="K18" s="40"/>
      <c r="L18" s="40"/>
      <c r="M18" s="40"/>
      <c r="N18" s="40"/>
      <c r="O18" s="40"/>
    </row>
    <row r="19" customFormat="false" ht="25.5" hidden="false" customHeight="true" outlineLevel="0" collapsed="false">
      <c r="A19" s="40" t="s">
        <v>440</v>
      </c>
      <c r="B19" s="40"/>
      <c r="C19" s="40"/>
      <c r="D19" s="40"/>
      <c r="E19" s="40"/>
      <c r="F19" s="40"/>
      <c r="G19" s="40"/>
      <c r="H19" s="40"/>
      <c r="I19" s="40"/>
      <c r="J19" s="40"/>
      <c r="K19" s="40"/>
      <c r="L19" s="40"/>
      <c r="M19" s="40"/>
      <c r="N19" s="40"/>
      <c r="O19" s="40"/>
    </row>
    <row r="20" customFormat="false" ht="25.5" hidden="false" customHeight="true" outlineLevel="0" collapsed="false">
      <c r="A20" s="40" t="s">
        <v>441</v>
      </c>
      <c r="B20" s="40"/>
      <c r="C20" s="40"/>
      <c r="D20" s="40"/>
      <c r="E20" s="40"/>
      <c r="F20" s="40"/>
      <c r="G20" s="40"/>
      <c r="H20" s="40"/>
      <c r="I20" s="40"/>
      <c r="J20" s="40"/>
      <c r="K20" s="40"/>
      <c r="L20" s="40"/>
      <c r="M20" s="40"/>
      <c r="N20" s="40"/>
      <c r="O20" s="40"/>
    </row>
    <row r="21" customFormat="false" ht="25.5" hidden="false" customHeight="true" outlineLevel="0" collapsed="false">
      <c r="A21" s="40" t="s">
        <v>442</v>
      </c>
      <c r="B21" s="40"/>
      <c r="C21" s="40"/>
      <c r="D21" s="40"/>
      <c r="E21" s="40"/>
      <c r="F21" s="40"/>
      <c r="G21" s="40"/>
      <c r="H21" s="40"/>
      <c r="I21" s="40"/>
      <c r="J21" s="40"/>
      <c r="K21" s="40"/>
      <c r="L21" s="40"/>
      <c r="M21" s="40"/>
      <c r="N21" s="40"/>
      <c r="O21" s="40"/>
    </row>
  </sheetData>
  <mergeCells count="10">
    <mergeCell ref="A1:O1"/>
    <mergeCell ref="A2:O2"/>
    <mergeCell ref="A3:F3"/>
    <mergeCell ref="H3:M3"/>
    <mergeCell ref="N3:O3"/>
    <mergeCell ref="A17:O17"/>
    <mergeCell ref="A18:O18"/>
    <mergeCell ref="A19:O19"/>
    <mergeCell ref="A20:O20"/>
    <mergeCell ref="A21:O21"/>
  </mergeCells>
  <conditionalFormatting sqref="N5:N15">
    <cfRule type="expression" priority="2" aboveAverage="0" equalAverage="0" bottom="0" percent="0" rank="0" text="" dxfId="15">
      <formula>ISNUMBER(SEARCH("New",$N5))</formula>
    </cfRule>
    <cfRule type="expression" priority="3" aboveAverage="0" equalAverage="0" bottom="0" percent="0" rank="0" text="" dxfId="16">
      <formula>ISNUMBER(SEARCH("Modified",$N5))</formula>
    </cfRule>
    <cfRule type="expression" priority="4" aboveAverage="0" equalAverage="0" bottom="0" percent="0" rank="0" text="" dxfId="17">
      <formula>ISNUMBER(SEARCH("Removed",$N5))</formula>
    </cfRule>
    <cfRule type="expression" priority="5" aboveAverage="0" equalAverage="0" bottom="0" percent="0" rank="0" text="" dxfId="18">
      <formula>ISNUMBER(SEARCH("Unchanged",$N5))</formula>
    </cfRule>
    <cfRule type="expression" priority="6" aboveAverage="0" equalAverage="0" bottom="0" percent="0" rank="0" text="" dxfId="19">
      <formula>ISNUMBER(SEARCH("Renumbered",$N5))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4"/>
    <col collapsed="false" customWidth="true" hidden="false" outlineLevel="0" max="4" min="4" style="0" width="11"/>
    <col collapsed="false" customWidth="true" hidden="false" outlineLevel="0" max="5" min="5" style="0" width="3"/>
    <col collapsed="false" customWidth="true" hidden="false" outlineLevel="0" max="6" min="6" style="0" width="30"/>
    <col collapsed="false" customWidth="true" hidden="false" outlineLevel="0" max="7" min="7" style="0" width="13"/>
    <col collapsed="false" customWidth="true" hidden="false" outlineLevel="0" max="8" min="8" style="0" width="46"/>
  </cols>
  <sheetData>
    <row r="1" customFormat="false" ht="24" hidden="false" customHeight="true" outlineLevel="0" collapsed="false">
      <c r="A1" s="20" t="s">
        <v>443</v>
      </c>
      <c r="B1" s="20"/>
      <c r="C1" s="20"/>
      <c r="D1" s="20"/>
      <c r="E1" s="20"/>
      <c r="F1" s="20"/>
      <c r="G1" s="20"/>
      <c r="H1" s="20"/>
    </row>
    <row r="2" customFormat="false" ht="30" hidden="false" customHeight="true" outlineLevel="0" collapsed="false">
      <c r="A2" s="19" t="s">
        <v>444</v>
      </c>
      <c r="B2" s="19"/>
      <c r="C2" s="19"/>
      <c r="D2" s="19"/>
      <c r="E2" s="19"/>
      <c r="F2" s="19"/>
      <c r="G2" s="19"/>
      <c r="H2" s="19"/>
    </row>
    <row r="3" customFormat="false" ht="15" hidden="false" customHeight="true" outlineLevel="0" collapsed="false">
      <c r="A3" s="21" t="s">
        <v>445</v>
      </c>
      <c r="B3" s="21"/>
      <c r="C3" s="21"/>
      <c r="D3" s="21"/>
      <c r="F3" s="22" t="s">
        <v>446</v>
      </c>
      <c r="G3" s="23" t="s">
        <v>60</v>
      </c>
      <c r="H3" s="23"/>
    </row>
    <row r="4" customFormat="false" ht="31.5" hidden="false" customHeight="true" outlineLevel="0" collapsed="false">
      <c r="A4" s="24" t="s">
        <v>447</v>
      </c>
      <c r="B4" s="24" t="s">
        <v>448</v>
      </c>
      <c r="C4" s="24" t="s">
        <v>449</v>
      </c>
      <c r="D4" s="24" t="s">
        <v>450</v>
      </c>
      <c r="E4" s="33"/>
      <c r="F4" s="25" t="s">
        <v>451</v>
      </c>
      <c r="G4" s="6" t="s">
        <v>9</v>
      </c>
      <c r="H4" s="6" t="s">
        <v>369</v>
      </c>
    </row>
    <row r="5" customFormat="false" ht="46.5" hidden="false" customHeight="true" outlineLevel="0" collapsed="false">
      <c r="A5" s="27" t="s">
        <v>452</v>
      </c>
      <c r="B5" s="28" t="s">
        <v>453</v>
      </c>
      <c r="C5" s="28" t="s">
        <v>454</v>
      </c>
      <c r="D5" s="28" t="s">
        <v>455</v>
      </c>
      <c r="E5" s="41"/>
      <c r="F5" s="29" t="s">
        <v>456</v>
      </c>
      <c r="G5" s="38" t="s">
        <v>17</v>
      </c>
      <c r="H5" s="31" t="s">
        <v>457</v>
      </c>
    </row>
    <row r="6" customFormat="false" ht="33" hidden="false" customHeight="true" outlineLevel="0" collapsed="false">
      <c r="A6" s="27" t="s">
        <v>458</v>
      </c>
      <c r="B6" s="28" t="s">
        <v>459</v>
      </c>
      <c r="C6" s="28" t="s">
        <v>460</v>
      </c>
      <c r="D6" s="28" t="s">
        <v>461</v>
      </c>
      <c r="E6" s="41"/>
      <c r="F6" s="29" t="s">
        <v>462</v>
      </c>
      <c r="G6" s="38" t="s">
        <v>17</v>
      </c>
      <c r="H6" s="31" t="s">
        <v>463</v>
      </c>
    </row>
    <row r="7" customFormat="false" ht="33" hidden="false" customHeight="true" outlineLevel="0" collapsed="false">
      <c r="A7" s="27" t="s">
        <v>464</v>
      </c>
      <c r="B7" s="28" t="s">
        <v>459</v>
      </c>
      <c r="C7" s="28" t="s">
        <v>465</v>
      </c>
      <c r="D7" s="28" t="s">
        <v>466</v>
      </c>
      <c r="E7" s="41"/>
      <c r="F7" s="29" t="s">
        <v>467</v>
      </c>
      <c r="G7" s="38" t="s">
        <v>15</v>
      </c>
      <c r="H7" s="31" t="s">
        <v>468</v>
      </c>
    </row>
    <row r="8" customFormat="false" ht="33" hidden="false" customHeight="true" outlineLevel="0" collapsed="false">
      <c r="A8" s="27" t="s">
        <v>469</v>
      </c>
      <c r="B8" s="28" t="s">
        <v>470</v>
      </c>
      <c r="C8" s="28" t="s">
        <v>471</v>
      </c>
      <c r="D8" s="28" t="s">
        <v>472</v>
      </c>
      <c r="E8" s="41"/>
      <c r="F8" s="29" t="s">
        <v>454</v>
      </c>
      <c r="G8" s="38" t="s">
        <v>17</v>
      </c>
      <c r="H8" s="31" t="s">
        <v>473</v>
      </c>
    </row>
    <row r="9" customFormat="false" ht="46.5" hidden="false" customHeight="true" outlineLevel="0" collapsed="false">
      <c r="A9" s="27" t="s">
        <v>474</v>
      </c>
      <c r="B9" s="28" t="s">
        <v>475</v>
      </c>
      <c r="C9" s="28" t="s">
        <v>454</v>
      </c>
      <c r="D9" s="28" t="s">
        <v>476</v>
      </c>
      <c r="E9" s="41"/>
      <c r="F9" s="29" t="s">
        <v>477</v>
      </c>
      <c r="G9" s="38" t="s">
        <v>17</v>
      </c>
      <c r="H9" s="31" t="s">
        <v>478</v>
      </c>
    </row>
    <row r="10" customFormat="false" ht="33" hidden="false" customHeight="true" outlineLevel="0" collapsed="false">
      <c r="A10" s="27" t="s">
        <v>479</v>
      </c>
      <c r="B10" s="28" t="s">
        <v>453</v>
      </c>
      <c r="C10" s="28" t="s">
        <v>460</v>
      </c>
      <c r="D10" s="28" t="s">
        <v>480</v>
      </c>
      <c r="E10" s="41"/>
      <c r="F10" s="29" t="s">
        <v>467</v>
      </c>
      <c r="G10" s="38" t="s">
        <v>15</v>
      </c>
      <c r="H10" s="31" t="s">
        <v>481</v>
      </c>
    </row>
    <row r="11" customFormat="false" ht="46.5" hidden="false" customHeight="true" outlineLevel="0" collapsed="false">
      <c r="A11" s="27" t="s">
        <v>482</v>
      </c>
      <c r="B11" s="28" t="s">
        <v>459</v>
      </c>
      <c r="C11" s="28" t="s">
        <v>459</v>
      </c>
      <c r="D11" s="28" t="s">
        <v>466</v>
      </c>
      <c r="E11" s="41"/>
      <c r="F11" s="29" t="s">
        <v>483</v>
      </c>
      <c r="G11" s="38" t="s">
        <v>17</v>
      </c>
      <c r="H11" s="31" t="s">
        <v>484</v>
      </c>
    </row>
    <row r="12" customFormat="false" ht="33" hidden="false" customHeight="true" outlineLevel="0" collapsed="false">
      <c r="A12" s="27" t="s">
        <v>485</v>
      </c>
      <c r="B12" s="28" t="s">
        <v>486</v>
      </c>
      <c r="C12" s="28" t="s">
        <v>487</v>
      </c>
      <c r="D12" s="28" t="s">
        <v>488</v>
      </c>
      <c r="E12" s="41"/>
      <c r="F12" s="29" t="s">
        <v>467</v>
      </c>
      <c r="G12" s="38" t="s">
        <v>15</v>
      </c>
      <c r="H12" s="31" t="s">
        <v>489</v>
      </c>
    </row>
    <row r="13" customFormat="false" ht="33" hidden="false" customHeight="true" outlineLevel="0" collapsed="false">
      <c r="A13" s="27" t="s">
        <v>490</v>
      </c>
      <c r="B13" s="28" t="s">
        <v>459</v>
      </c>
      <c r="C13" s="28" t="s">
        <v>459</v>
      </c>
      <c r="D13" s="28" t="s">
        <v>491</v>
      </c>
      <c r="E13" s="41"/>
      <c r="F13" s="29" t="s">
        <v>492</v>
      </c>
      <c r="G13" s="38" t="s">
        <v>17</v>
      </c>
      <c r="H13" s="31" t="s">
        <v>493</v>
      </c>
    </row>
    <row r="14" customFormat="false" ht="33" hidden="false" customHeight="true" outlineLevel="0" collapsed="false">
      <c r="A14" s="27" t="s">
        <v>494</v>
      </c>
      <c r="B14" s="28" t="s">
        <v>495</v>
      </c>
      <c r="C14" s="28" t="s">
        <v>496</v>
      </c>
      <c r="D14" s="28" t="s">
        <v>347</v>
      </c>
      <c r="E14" s="41"/>
      <c r="F14" s="29" t="s">
        <v>497</v>
      </c>
      <c r="G14" s="38" t="s">
        <v>17</v>
      </c>
      <c r="H14" s="31" t="s">
        <v>498</v>
      </c>
    </row>
    <row r="15" customFormat="false" ht="46.5" hidden="false" customHeight="true" outlineLevel="0" collapsed="false">
      <c r="A15" s="27" t="s">
        <v>499</v>
      </c>
      <c r="B15" s="28" t="s">
        <v>500</v>
      </c>
      <c r="C15" s="28" t="s">
        <v>501</v>
      </c>
      <c r="D15" s="28" t="s">
        <v>502</v>
      </c>
      <c r="E15" s="41"/>
      <c r="F15" s="29" t="s">
        <v>503</v>
      </c>
      <c r="G15" s="38" t="s">
        <v>21</v>
      </c>
      <c r="H15" s="31" t="s">
        <v>504</v>
      </c>
    </row>
    <row r="16" customFormat="false" ht="46.5" hidden="false" customHeight="true" outlineLevel="0" collapsed="false">
      <c r="A16" s="27" t="s">
        <v>505</v>
      </c>
      <c r="B16" s="28" t="s">
        <v>82</v>
      </c>
      <c r="C16" s="28" t="s">
        <v>82</v>
      </c>
      <c r="D16" s="28"/>
      <c r="E16" s="41"/>
      <c r="F16" s="29" t="s">
        <v>506</v>
      </c>
      <c r="G16" s="38" t="s">
        <v>19</v>
      </c>
      <c r="H16" s="31" t="s">
        <v>507</v>
      </c>
    </row>
    <row r="17" customFormat="false" ht="46.5" hidden="false" customHeight="true" outlineLevel="0" collapsed="false">
      <c r="A17" s="27" t="s">
        <v>508</v>
      </c>
      <c r="B17" s="28" t="s">
        <v>82</v>
      </c>
      <c r="C17" s="28" t="s">
        <v>82</v>
      </c>
      <c r="D17" s="28"/>
      <c r="E17" s="41"/>
      <c r="F17" s="29" t="s">
        <v>509</v>
      </c>
      <c r="G17" s="38" t="s">
        <v>19</v>
      </c>
      <c r="H17" s="31" t="s">
        <v>510</v>
      </c>
    </row>
    <row r="18" customFormat="false" ht="33" hidden="false" customHeight="true" outlineLevel="0" collapsed="false">
      <c r="A18" s="27" t="s">
        <v>511</v>
      </c>
      <c r="B18" s="28" t="s">
        <v>82</v>
      </c>
      <c r="C18" s="28" t="s">
        <v>82</v>
      </c>
      <c r="D18" s="28"/>
      <c r="E18" s="41"/>
      <c r="F18" s="29" t="s">
        <v>454</v>
      </c>
      <c r="G18" s="38" t="s">
        <v>19</v>
      </c>
      <c r="H18" s="31" t="s">
        <v>512</v>
      </c>
    </row>
    <row r="19" customFormat="false" ht="33" hidden="false" customHeight="true" outlineLevel="0" collapsed="false">
      <c r="A19" s="27" t="s">
        <v>513</v>
      </c>
      <c r="B19" s="28" t="s">
        <v>82</v>
      </c>
      <c r="C19" s="28" t="s">
        <v>82</v>
      </c>
      <c r="D19" s="28"/>
      <c r="E19" s="41"/>
      <c r="F19" s="29" t="s">
        <v>454</v>
      </c>
      <c r="G19" s="38" t="s">
        <v>19</v>
      </c>
      <c r="H19" s="31" t="s">
        <v>514</v>
      </c>
    </row>
  </sheetData>
  <mergeCells count="4">
    <mergeCell ref="A1:H1"/>
    <mergeCell ref="A2:H2"/>
    <mergeCell ref="A3:D3"/>
    <mergeCell ref="G3:H3"/>
  </mergeCells>
  <conditionalFormatting sqref="G5:G19">
    <cfRule type="expression" priority="2" aboveAverage="0" equalAverage="0" bottom="0" percent="0" rank="0" text="" dxfId="15">
      <formula>ISNUMBER(SEARCH("New",$G5))</formula>
    </cfRule>
    <cfRule type="expression" priority="3" aboveAverage="0" equalAverage="0" bottom="0" percent="0" rank="0" text="" dxfId="16">
      <formula>ISNUMBER(SEARCH("Modified",$G5))</formula>
    </cfRule>
    <cfRule type="expression" priority="4" aboveAverage="0" equalAverage="0" bottom="0" percent="0" rank="0" text="" dxfId="17">
      <formula>ISNUMBER(SEARCH("Removed",$G5))</formula>
    </cfRule>
    <cfRule type="expression" priority="5" aboveAverage="0" equalAverage="0" bottom="0" percent="0" rank="0" text="" dxfId="18">
      <formula>ISNUMBER(SEARCH("Unchanged",$G5))</formula>
    </cfRule>
    <cfRule type="expression" priority="6" aboveAverage="0" equalAverage="0" bottom="0" percent="0" rank="0" text="" dxfId="19">
      <formula>ISNUMBER(SEARCH("Renumbered",$G5))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3"/>
    <col collapsed="false" customWidth="true" hidden="false" outlineLevel="0" max="4" min="4" style="0" width="6"/>
    <col collapsed="false" customWidth="true" hidden="false" outlineLevel="0" max="5" min="5" style="0" width="50"/>
    <col collapsed="false" customWidth="true" hidden="false" outlineLevel="0" max="6" min="6" style="0" width="13"/>
    <col collapsed="false" customWidth="true" hidden="false" outlineLevel="0" max="7" min="7" style="0" width="44"/>
  </cols>
  <sheetData>
    <row r="1" customFormat="false" ht="24" hidden="false" customHeight="true" outlineLevel="0" collapsed="false">
      <c r="A1" s="20" t="s">
        <v>515</v>
      </c>
      <c r="B1" s="20"/>
      <c r="C1" s="20"/>
      <c r="D1" s="20"/>
      <c r="E1" s="20"/>
      <c r="F1" s="20"/>
      <c r="G1" s="20"/>
    </row>
    <row r="2" customFormat="false" ht="30" hidden="false" customHeight="true" outlineLevel="0" collapsed="false">
      <c r="A2" s="19" t="s">
        <v>516</v>
      </c>
      <c r="B2" s="19"/>
      <c r="C2" s="19"/>
      <c r="D2" s="19"/>
      <c r="E2" s="19"/>
      <c r="F2" s="19"/>
      <c r="G2" s="19"/>
    </row>
    <row r="3" customFormat="false" ht="15" hidden="false" customHeight="true" outlineLevel="0" collapsed="false">
      <c r="A3" s="21" t="s">
        <v>517</v>
      </c>
      <c r="B3" s="21"/>
      <c r="D3" s="22" t="s">
        <v>360</v>
      </c>
      <c r="E3" s="22"/>
      <c r="F3" s="23" t="s">
        <v>60</v>
      </c>
      <c r="G3" s="23"/>
    </row>
    <row r="4" customFormat="false" ht="31.5" hidden="false" customHeight="true" outlineLevel="0" collapsed="false">
      <c r="A4" s="24" t="s">
        <v>518</v>
      </c>
      <c r="B4" s="24" t="s">
        <v>519</v>
      </c>
      <c r="C4" s="33"/>
      <c r="D4" s="25" t="s">
        <v>518</v>
      </c>
      <c r="E4" s="25" t="s">
        <v>520</v>
      </c>
      <c r="F4" s="6" t="s">
        <v>9</v>
      </c>
      <c r="G4" s="6" t="s">
        <v>521</v>
      </c>
    </row>
    <row r="5" customFormat="false" ht="46.5" hidden="false" customHeight="true" outlineLevel="0" collapsed="false">
      <c r="A5" s="34" t="s">
        <v>69</v>
      </c>
      <c r="B5" s="28" t="s">
        <v>522</v>
      </c>
      <c r="C5" s="41"/>
      <c r="D5" s="37" t="s">
        <v>69</v>
      </c>
      <c r="E5" s="29" t="s">
        <v>522</v>
      </c>
      <c r="F5" s="38" t="s">
        <v>21</v>
      </c>
      <c r="G5" s="31" t="s">
        <v>523</v>
      </c>
    </row>
    <row r="6" customFormat="false" ht="60" hidden="false" customHeight="true" outlineLevel="0" collapsed="false">
      <c r="A6" s="34" t="s">
        <v>524</v>
      </c>
      <c r="B6" s="28" t="s">
        <v>525</v>
      </c>
      <c r="C6" s="41"/>
      <c r="D6" s="37" t="s">
        <v>524</v>
      </c>
      <c r="E6" s="29" t="s">
        <v>525</v>
      </c>
      <c r="F6" s="38" t="s">
        <v>21</v>
      </c>
      <c r="G6" s="31" t="s">
        <v>526</v>
      </c>
    </row>
    <row r="7" customFormat="false" ht="60" hidden="false" customHeight="true" outlineLevel="0" collapsed="false">
      <c r="A7" s="34" t="s">
        <v>87</v>
      </c>
      <c r="B7" s="28" t="s">
        <v>527</v>
      </c>
      <c r="C7" s="41"/>
      <c r="D7" s="37" t="s">
        <v>87</v>
      </c>
      <c r="E7" s="29" t="s">
        <v>527</v>
      </c>
      <c r="F7" s="38" t="s">
        <v>21</v>
      </c>
      <c r="G7" s="31" t="s">
        <v>526</v>
      </c>
    </row>
    <row r="8" customFormat="false" ht="60" hidden="false" customHeight="true" outlineLevel="0" collapsed="false">
      <c r="A8" s="34" t="s">
        <v>90</v>
      </c>
      <c r="B8" s="28" t="s">
        <v>528</v>
      </c>
      <c r="C8" s="41"/>
      <c r="D8" s="37" t="s">
        <v>90</v>
      </c>
      <c r="E8" s="29" t="s">
        <v>528</v>
      </c>
      <c r="F8" s="38" t="s">
        <v>21</v>
      </c>
      <c r="G8" s="31" t="s">
        <v>529</v>
      </c>
    </row>
    <row r="9" customFormat="false" ht="46.5" hidden="false" customHeight="true" outlineLevel="0" collapsed="false">
      <c r="A9" s="34" t="s">
        <v>377</v>
      </c>
      <c r="B9" s="28" t="s">
        <v>530</v>
      </c>
      <c r="C9" s="41"/>
      <c r="D9" s="37" t="s">
        <v>377</v>
      </c>
      <c r="E9" s="29" t="s">
        <v>530</v>
      </c>
      <c r="F9" s="38" t="s">
        <v>21</v>
      </c>
      <c r="G9" s="31" t="s">
        <v>531</v>
      </c>
    </row>
    <row r="10" customFormat="false" ht="73.5" hidden="false" customHeight="true" outlineLevel="0" collapsed="false">
      <c r="A10" s="34" t="s">
        <v>306</v>
      </c>
      <c r="B10" s="28" t="s">
        <v>532</v>
      </c>
      <c r="C10" s="41"/>
      <c r="D10" s="37" t="s">
        <v>306</v>
      </c>
      <c r="E10" s="29" t="s">
        <v>533</v>
      </c>
      <c r="F10" s="38" t="s">
        <v>17</v>
      </c>
      <c r="G10" s="31" t="s">
        <v>534</v>
      </c>
    </row>
    <row r="11" customFormat="false" ht="60" hidden="false" customHeight="true" outlineLevel="0" collapsed="false">
      <c r="A11" s="34" t="s">
        <v>82</v>
      </c>
      <c r="B11" s="42" t="s">
        <v>19</v>
      </c>
      <c r="C11" s="41"/>
      <c r="D11" s="37" t="s">
        <v>311</v>
      </c>
      <c r="E11" s="29" t="s">
        <v>535</v>
      </c>
      <c r="F11" s="38" t="s">
        <v>19</v>
      </c>
      <c r="G11" s="31" t="s">
        <v>536</v>
      </c>
    </row>
    <row r="12" customFormat="false" ht="46.5" hidden="false" customHeight="true" outlineLevel="0" collapsed="false">
      <c r="A12" s="34" t="s">
        <v>311</v>
      </c>
      <c r="B12" s="28" t="s">
        <v>537</v>
      </c>
      <c r="C12" s="41"/>
      <c r="D12" s="37" t="s">
        <v>315</v>
      </c>
      <c r="E12" s="29" t="s">
        <v>537</v>
      </c>
      <c r="F12" s="38" t="s">
        <v>23</v>
      </c>
      <c r="G12" s="31" t="s">
        <v>538</v>
      </c>
    </row>
    <row r="13" customFormat="false" ht="46.5" hidden="false" customHeight="true" outlineLevel="0" collapsed="false">
      <c r="A13" s="34" t="s">
        <v>315</v>
      </c>
      <c r="B13" s="28" t="s">
        <v>539</v>
      </c>
      <c r="C13" s="41"/>
      <c r="D13" s="37" t="s">
        <v>319</v>
      </c>
      <c r="E13" s="29" t="s">
        <v>539</v>
      </c>
      <c r="F13" s="38" t="s">
        <v>23</v>
      </c>
      <c r="G13" s="31" t="s">
        <v>540</v>
      </c>
    </row>
    <row r="14" customFormat="false" ht="33" hidden="false" customHeight="true" outlineLevel="0" collapsed="false">
      <c r="A14" s="34" t="s">
        <v>319</v>
      </c>
      <c r="B14" s="28" t="s">
        <v>541</v>
      </c>
      <c r="C14" s="41"/>
      <c r="D14" s="37" t="s">
        <v>325</v>
      </c>
      <c r="E14" s="29" t="s">
        <v>541</v>
      </c>
      <c r="F14" s="38" t="s">
        <v>23</v>
      </c>
      <c r="G14" s="31" t="s">
        <v>542</v>
      </c>
    </row>
    <row r="15" customFormat="false" ht="33" hidden="false" customHeight="true" outlineLevel="0" collapsed="false">
      <c r="A15" s="34" t="s">
        <v>325</v>
      </c>
      <c r="B15" s="28" t="s">
        <v>543</v>
      </c>
      <c r="C15" s="41"/>
      <c r="D15" s="37" t="s">
        <v>544</v>
      </c>
      <c r="E15" s="29" t="s">
        <v>543</v>
      </c>
      <c r="F15" s="38" t="s">
        <v>23</v>
      </c>
      <c r="G15" s="31" t="s">
        <v>545</v>
      </c>
    </row>
    <row r="16" customFormat="false" ht="60" hidden="false" customHeight="true" outlineLevel="0" collapsed="false">
      <c r="A16" s="34" t="s">
        <v>544</v>
      </c>
      <c r="B16" s="28" t="s">
        <v>546</v>
      </c>
      <c r="C16" s="41"/>
      <c r="D16" s="37" t="s">
        <v>82</v>
      </c>
      <c r="E16" s="32" t="s">
        <v>110</v>
      </c>
      <c r="F16" s="38" t="s">
        <v>15</v>
      </c>
      <c r="G16" s="31" t="s">
        <v>547</v>
      </c>
    </row>
    <row r="17" customFormat="false" ht="87" hidden="false" customHeight="true" outlineLevel="0" collapsed="false">
      <c r="A17" s="34" t="s">
        <v>548</v>
      </c>
      <c r="B17" s="28" t="s">
        <v>549</v>
      </c>
      <c r="C17" s="41"/>
      <c r="D17" s="37" t="s">
        <v>82</v>
      </c>
      <c r="E17" s="32" t="s">
        <v>110</v>
      </c>
      <c r="F17" s="38" t="s">
        <v>15</v>
      </c>
      <c r="G17" s="31" t="s">
        <v>550</v>
      </c>
    </row>
    <row r="18" customFormat="false" ht="60" hidden="false" customHeight="true" outlineLevel="0" collapsed="false">
      <c r="A18" s="34" t="s">
        <v>347</v>
      </c>
      <c r="B18" s="28" t="s">
        <v>551</v>
      </c>
      <c r="C18" s="41"/>
      <c r="D18" s="37" t="s">
        <v>82</v>
      </c>
      <c r="E18" s="32" t="s">
        <v>110</v>
      </c>
      <c r="F18" s="38" t="s">
        <v>15</v>
      </c>
      <c r="G18" s="31" t="s">
        <v>552</v>
      </c>
    </row>
    <row r="19" customFormat="false" ht="60" hidden="false" customHeight="true" outlineLevel="0" collapsed="false">
      <c r="A19" s="34" t="s">
        <v>352</v>
      </c>
      <c r="B19" s="28" t="s">
        <v>553</v>
      </c>
      <c r="C19" s="41"/>
      <c r="D19" s="37" t="s">
        <v>82</v>
      </c>
      <c r="E19" s="32" t="s">
        <v>110</v>
      </c>
      <c r="F19" s="38" t="s">
        <v>15</v>
      </c>
      <c r="G19" s="31" t="s">
        <v>554</v>
      </c>
    </row>
    <row r="20" customFormat="false" ht="46.5" hidden="false" customHeight="true" outlineLevel="0" collapsed="false">
      <c r="A20" s="34" t="s">
        <v>555</v>
      </c>
      <c r="B20" s="28" t="s">
        <v>556</v>
      </c>
      <c r="C20" s="41"/>
      <c r="D20" s="37" t="s">
        <v>82</v>
      </c>
      <c r="E20" s="32" t="s">
        <v>110</v>
      </c>
      <c r="F20" s="38" t="s">
        <v>15</v>
      </c>
      <c r="G20" s="31" t="s">
        <v>554</v>
      </c>
    </row>
    <row r="21" customFormat="false" ht="46.5" hidden="false" customHeight="true" outlineLevel="0" collapsed="false">
      <c r="A21" s="34" t="s">
        <v>557</v>
      </c>
      <c r="B21" s="28" t="s">
        <v>558</v>
      </c>
      <c r="C21" s="41"/>
      <c r="D21" s="37" t="s">
        <v>82</v>
      </c>
      <c r="E21" s="32" t="s">
        <v>110</v>
      </c>
      <c r="F21" s="38" t="s">
        <v>15</v>
      </c>
      <c r="G21" s="31" t="s">
        <v>559</v>
      </c>
    </row>
    <row r="22" customFormat="false" ht="60" hidden="false" customHeight="true" outlineLevel="0" collapsed="false">
      <c r="A22" s="34" t="s">
        <v>476</v>
      </c>
      <c r="B22" s="28" t="s">
        <v>560</v>
      </c>
      <c r="C22" s="41"/>
      <c r="D22" s="37" t="s">
        <v>82</v>
      </c>
      <c r="E22" s="32" t="s">
        <v>110</v>
      </c>
      <c r="F22" s="38" t="s">
        <v>15</v>
      </c>
      <c r="G22" s="31" t="s">
        <v>561</v>
      </c>
    </row>
    <row r="23" customFormat="false" ht="46.5" hidden="false" customHeight="true" outlineLevel="0" collapsed="false">
      <c r="A23" s="34" t="s">
        <v>562</v>
      </c>
      <c r="B23" s="28" t="s">
        <v>563</v>
      </c>
      <c r="C23" s="41"/>
      <c r="D23" s="37" t="s">
        <v>82</v>
      </c>
      <c r="E23" s="32" t="s">
        <v>110</v>
      </c>
      <c r="F23" s="38" t="s">
        <v>15</v>
      </c>
      <c r="G23" s="31" t="s">
        <v>564</v>
      </c>
    </row>
    <row r="24" customFormat="false" ht="46.5" hidden="false" customHeight="true" outlineLevel="0" collapsed="false">
      <c r="A24" s="34" t="s">
        <v>565</v>
      </c>
      <c r="B24" s="28" t="s">
        <v>566</v>
      </c>
      <c r="C24" s="41"/>
      <c r="D24" s="37" t="s">
        <v>82</v>
      </c>
      <c r="E24" s="32" t="s">
        <v>110</v>
      </c>
      <c r="F24" s="38" t="s">
        <v>15</v>
      </c>
      <c r="G24" s="31" t="s">
        <v>567</v>
      </c>
    </row>
  </sheetData>
  <mergeCells count="5">
    <mergeCell ref="A1:G1"/>
    <mergeCell ref="A2:G2"/>
    <mergeCell ref="A3:B3"/>
    <mergeCell ref="D3:E3"/>
    <mergeCell ref="F3:G3"/>
  </mergeCells>
  <conditionalFormatting sqref="F5:F24">
    <cfRule type="expression" priority="2" aboveAverage="0" equalAverage="0" bottom="0" percent="0" rank="0" text="" dxfId="15">
      <formula>ISNUMBER(SEARCH("New",$F5))</formula>
    </cfRule>
    <cfRule type="expression" priority="3" aboveAverage="0" equalAverage="0" bottom="0" percent="0" rank="0" text="" dxfId="16">
      <formula>ISNUMBER(SEARCH("Modified",$F5))</formula>
    </cfRule>
    <cfRule type="expression" priority="4" aboveAverage="0" equalAverage="0" bottom="0" percent="0" rank="0" text="" dxfId="17">
      <formula>ISNUMBER(SEARCH("Removed",$F5))</formula>
    </cfRule>
    <cfRule type="expression" priority="5" aboveAverage="0" equalAverage="0" bottom="0" percent="0" rank="0" text="" dxfId="18">
      <formula>ISNUMBER(SEARCH("Unchanged",$F5))</formula>
    </cfRule>
    <cfRule type="expression" priority="6" aboveAverage="0" equalAverage="0" bottom="0" percent="0" rank="0" text="" dxfId="19">
      <formula>ISNUMBER(SEARCH("Renumbered",$F5))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2026-10-14T12:51:05Z</dcterms:created>
  <dc:creator>openpyxl</dc:creator>
  <dc:description/>
  <dc:language>en-US</dc:language>
  <cp:lastModifiedBy/>
  <dcterms:modified xsi:type="dcterms:W3CDTF">2026-10-14T12:51:05Z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