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Side-by-Side Comparison" sheetId="2" state="visible" r:id="rId4"/>
    <sheet name="Dosing Table 12.1" sheetId="3" state="visible" r:id="rId5"/>
    <sheet name="Monitoring Schedule" sheetId="4" state="visible" r:id="rId6"/>
    <sheet name="References" sheetId="5" state="visible" r:id="rId7"/>
  </sheets>
  <definedNames>
    <definedName function="false" hidden="false" localSheetId="1" name="_xlnm.Print_Titles" vbProcedure="false">'Side-by-Side Comparison'!$3:$4</definedName>
    <definedName function="false" hidden="true" localSheetId="1" name="_xlnm._FilterDatabase" vbProcedure="false">'Side-by-Side Comparison'!$A$4:$H$47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<sst xmlns="http://schemas.openxmlformats.org/spreadsheetml/2006/main" count="607" uniqueCount="386">
  <si>
    <t xml:space="preserve">CPG/DMT-A/332 – Guidelines for the Diagnosis, Management and Treatment of Children with Achondroplasia</t>
  </si>
  <si>
    <t xml:space="preserve">What changed: revised draft (committee decisions applied) against the 2024 version – changes only</t>
  </si>
  <si>
    <t xml:space="preserve">Revised draft (left side)</t>
  </si>
  <si>
    <t xml:space="preserve">Manual-CPG_Achondroplasia_332_revised.docx – the updated draft with the 10 duplication decisions, the 3 follow-up fixes and the appendix 11.20 note applied.</t>
  </si>
  <si>
    <t xml:space="preserve">Old version (right side)</t>
  </si>
  <si>
    <t xml:space="preserve">Manua-CPG Achondroplasia 332 (PDF). Effective 27/08/24, revision due 26/08/26.</t>
  </si>
  <si>
    <t xml:space="preserve">Main sources of change</t>
  </si>
  <si>
    <t xml:space="preserve">EU SmPC rev. 10/2023 (ref 6), FDA all-ages approval Oct 2023 (ref 11), Middle East consensus 2026 (ref 12), international vosoritide consensus 2025 (ref 13).</t>
  </si>
  <si>
    <t xml:space="preserve">Change count (live from the sheets)</t>
  </si>
  <si>
    <t xml:space="preserve">Status</t>
  </si>
  <si>
    <t xml:space="preserve">Main text</t>
  </si>
  <si>
    <t xml:space="preserve">Dosing table</t>
  </si>
  <si>
    <t xml:space="preserve">Monitoring</t>
  </si>
  <si>
    <t xml:space="preserve">References</t>
  </si>
  <si>
    <t xml:space="preserve">Meaning</t>
  </si>
  <si>
    <t xml:space="preserve">New</t>
  </si>
  <si>
    <t xml:space="preserve">Added in the update. Not in 2024.</t>
  </si>
  <si>
    <t xml:space="preserve">Modified</t>
  </si>
  <si>
    <t xml:space="preserve">In both versions, but the content changed.</t>
  </si>
  <si>
    <t xml:space="preserve">Removed</t>
  </si>
  <si>
    <t xml:space="preserve">In 2024, dropped from the update.</t>
  </si>
  <si>
    <t xml:space="preserve">Renumbered</t>
  </si>
  <si>
    <t xml:space="preserve">Same content, new number (references only).</t>
  </si>
  <si>
    <t xml:space="preserve">Total</t>
  </si>
  <si>
    <t xml:space="preserve">Key changes at a glance</t>
  </si>
  <si>
    <t xml:space="preserve">Indication updated (5.3.1): EU label now from 4 months (was 2 years); FDA now all ages with open growth plates (was 5 years and over). Treatment must be led by a physician qualified in growth disorders / skeletal dysplasia.</t>
  </si>
  <si>
    <t xml:space="preserve">Stopping rule kept as in 2024 (AGV &lt;1.5 cm after one year, or closed growth plates). It now sits only in 5.4 instead of also being an exclusion criterion.</t>
  </si>
  <si>
    <t xml:space="preserve">'Non-compliant to treatment' dropped from the exclusion list (compliance still required to start).</t>
  </si>
  <si>
    <t xml:space="preserve">New 5.3.5 'Dose, units and administration': µg/kg range, mL↔Units, weight-band review every 3–6 months, reconstitution time, site rotation, missed-dose rule, caregiver training, first dose in clinic with ~1 h observation.</t>
  </si>
  <si>
    <t xml:space="preserve">Side effects: pre-dose hypotension advice aligned with the SmPC; new contraindication / pregnancy / driving advice; SmPC adverse-reaction table moved into 5.3.4 so everything is in one place.</t>
  </si>
  <si>
    <t xml:space="preserve">Dosing table 12.1 replaced by the SmPC table, now starting at 4 kg (was 10 kg). One dosing table only.</t>
  </si>
  <si>
    <t xml:space="preserve">New baseline checklist (5.5.4, 7 domains) with FGFR3 molecular confirmation mandatory, pre-treatment AGV and baseline QoL.</t>
  </si>
  <si>
    <t xml:space="preserve">New follow-up table (5.5.5): infants 0–2 years every 3 months; over 2 years keeps the 2024 timings. Note under appendix 11.20 makes 5.5.5 the rule for under-2s.</t>
  </si>
  <si>
    <t xml:space="preserve">New content from the Middle East consensus: prenatal diagnosis, routine infant craniocervical MRI and polysomnography, care coordinator and surgical-expertise requirement, shared decision-making, QoL tools and a transition clinic.</t>
  </si>
  <si>
    <t xml:space="preserve">References grew from 11 to 19: 9 new sources (2023–2026), one duplicate removed, the SmPC now cited in full, and refs 7–10 renumbered.</t>
  </si>
  <si>
    <t xml:space="preserve">Points for the committee before sign-off</t>
  </si>
  <si>
    <t xml:space="preserve">Remove the review markup before issue: the 'Updated:' / 'Old (2024):' labels, the red/blue text and the pink highlighting, and the comparison key at the top of the document.</t>
  </si>
  <si>
    <t xml:space="preserve">Fill in the CPG history (replaces the 2024 version, effective 27/08/24) with new effective and revision dates, and collect approval signatures.</t>
  </si>
  <si>
    <t xml:space="preserve">Refs 4 and 5 are no longer cited after the 5.3.1 update and describe the old age limits – consider removing them.</t>
  </si>
  <si>
    <t xml:space="preserve">The 2024 stopping rule (AGV &lt;1.5 cm after one year) is stricter than the SmPC, which only stops at closed growth plates. Fine as local policy, but worth stating that it is a KSMC decision.</t>
  </si>
  <si>
    <t xml:space="preserve">Check service capacity before go-live: routine infant MRI and polysomnography, 3-monthly infant visits, first-dose observation slots and specialist-nurse caregiver training.</t>
  </si>
  <si>
    <t xml:space="preserve">How to read this workbook</t>
  </si>
  <si>
    <t xml:space="preserve">Side-by-Side Comparison</t>
  </si>
  <si>
    <t xml:space="preserve">Every changed statement, section by section. Revised text on the left, 2024 text on the right, comparison columns at the end.</t>
  </si>
  <si>
    <t xml:space="preserve">Dosing Table 12.1</t>
  </si>
  <si>
    <t xml:space="preserve">Weight bands that are new or changed.</t>
  </si>
  <si>
    <t xml:space="preserve">Monitoring Schedule</t>
  </si>
  <si>
    <t xml:space="preserve">Follow-up items whose timing changed, or that are new, in 5.5.5 against appendix 11.20.</t>
  </si>
  <si>
    <t xml:space="preserve">References added, removed, rewritten or renumbered, and where each is cited.</t>
  </si>
  <si>
    <t xml:space="preserve">Colour key: blue = revised draft · brown/peach = 2024 version · pink = new · yellow = modified · red = removed · light blue = renumbered. Unchanged content is not listed anywhere in this workbook.</t>
  </si>
  <si>
    <t xml:space="preserve">CPG/DMT-A/332 – Achondroplasia: what changed (revised draft vs 2024)</t>
  </si>
  <si>
    <t xml:space="preserve">Left = REVISED draft (Manual-CPG_Achondroplasia_332_revised.docx, with the committee decisions applied). Right = 2024 version (PDF, effective 27/08/24). Only new, modified and removed items are listed – anything not shown is the same in both versions.</t>
  </si>
  <si>
    <t xml:space="preserve">REVISED DRAFT</t>
  </si>
  <si>
    <t xml:space="preserve">OLD VERSION (2024)</t>
  </si>
  <si>
    <t xml:space="preserve">COMPARISON</t>
  </si>
  <si>
    <t xml:space="preserve">Section
(updated)</t>
  </si>
  <si>
    <t xml:space="preserve">Topic</t>
  </si>
  <si>
    <t xml:space="preserve">Updated text</t>
  </si>
  <si>
    <t xml:space="preserve">Old text (2024)</t>
  </si>
  <si>
    <t xml:space="preserve">Section
(old)</t>
  </si>
  <si>
    <t xml:space="preserve">What changed / why it matters</t>
  </si>
  <si>
    <t xml:space="preserve">References
(old → new)</t>
  </si>
  <si>
    <t xml:space="preserve">5.1 Diagnostic Method</t>
  </si>
  <si>
    <t xml:space="preserve">5.1 D</t>
  </si>
  <si>
    <t xml:space="preserve">Prenatal diagnosis (NEW sub-section)</t>
  </si>
  <si>
    <t xml:space="preserve">Prenatal diagnosis by ultrasound and molecular testing should be offered when there is clinical suspicion or a positive family history; typical ultrasound features (rhizomelic limb shortening, macrocephaly with frontal bossing and midface hypoplasia) often become apparent after 24 weeks of gestation. Counselling should be clear and non-directive, providing balanced, evidence-based information, including education on safe positioning and handling of infants with achondroplasia. Parents who receive a prenatal diagnosis should be offered early psychological support and education (12).</t>
  </si>
  <si>
    <t xml:space="preserve">— Not addressed in this version —</t>
  </si>
  <si>
    <t xml:space="preserve">—</t>
  </si>
  <si>
    <t xml:space="preserve">Brand-new sub-section. Brings in the prenatal pathway: when to offer US + molecular testing, the &gt;24-week timing of US signs, non-directive counselling, and early psychological support for parents.</t>
  </si>
  <si>
    <t xml:space="preserve">New ref 12 (Middle East consensus 2026)</t>
  </si>
  <si>
    <t xml:space="preserve">5.2 Multi-System Co-Morbidities</t>
  </si>
  <si>
    <t xml:space="preserve">5.2</t>
  </si>
  <si>
    <t xml:space="preserve">Screening in infancy (NEW)</t>
  </si>
  <si>
    <t xml:space="preserve">Screening in infancy: where available and clinically feasible, MRI of the craniocervical junction should be offered routinely in early infancy to screen for foramen magnum stenosis, with reports using standardised radiological scoring systems. Polysomnography should be performed routinely to detect sleep-disordered breathing, including central sleep apnoea, which may not be reliably identified on clinical assessment alone. Where these services are limited, clinicians should keep a low threshold for referral to a specialist centre. Regular screening and surveillance should continue for foramen magnum stenosis, sleep apnoea, ENT problems, neurological issues, orthopaedic complications and obesity (12).</t>
  </si>
  <si>
    <t xml:space="preserve">Not stated as a recommendation. The 2024 version only showed the co-morbidity figure; MRI brain / whole-spine MRI appeared only inside the clinical algorithm (section 6).</t>
  </si>
  <si>
    <t xml:space="preserve">5.2 / 6</t>
  </si>
  <si>
    <t xml:space="preserve">Moves from "show the risks" to "actively screen": routine craniocervical MRI and routine polysomnography in infancy, with standardised MRI scoring and a referral route when local services are limited. Resource impact (MRI + sleep-lab capacity) should be checked.</t>
  </si>
  <si>
    <t xml:space="preserve">New ref 12</t>
  </si>
  <si>
    <t xml:space="preserve">Multidisciplinary care (NEW)</t>
  </si>
  <si>
    <t xml:space="preserve">Multidisciplinary care: a multidisciplinary care coordinator or lead clinician should be designated to ensure continuous care, effective communication and follow-up across specialties. Surgical interventions should only be performed by clinicians with expertise in achondroplasia, with decisions made in conjunction with the multidisciplinary team (see team in the clinical algorithm, section 6) (12).</t>
  </si>
  <si>
    <t xml:space="preserve">MDT listed only in the algorithm box: ENT, sleep-apnea specialist, orthodontist, orthopedic, spinal surgery, neurosurgery, dietitian, physiotherapy.</t>
  </si>
  <si>
    <t xml:space="preserve">6 (algorithm)</t>
  </si>
  <si>
    <t xml:space="preserve">The team members stay as listed in the 2024 algorithm. Two new requirements added: a named care coordinator / lead clinician, and surgery only by clinicians experienced in achondroplasia, decided with the MDT.</t>
  </si>
  <si>
    <t xml:space="preserve">5.3 Treatment – Vosoritide</t>
  </si>
  <si>
    <t xml:space="preserve">5.3.1</t>
  </si>
  <si>
    <t xml:space="preserve">Vosoritide "Voxzogo" – indication</t>
  </si>
  <si>
    <t xml:space="preserve">The first and only therapy approved to increase linear growth in children with achondroplasia is called Vosoritide "Voxzogo". In the European Union, vosoritide is indicated for the treatment of achondroplasia in patients 4 months of age and older whose epiphyses are not closed, (6) and the US FDA has approved it (October 2023) to increase linear growth in paediatric patients of all ages with achondroplasia and open epiphyses. (11) Vosoritide is given as a single daily dose of subcutaneous injection to prevent the inhibition of chondrocyte mineralization resulting from FGFR3 mutation and allows linear bone growth. Treatment should be initiated and directed by a physician appropriately qualified in the management of growth disorders or skeletal dysplasias. Safety and efficacy data in children younger than 4 months are limited, and no posology recommendation can be made for this group (6).</t>
  </si>
  <si>
    <t xml:space="preserve">The first and only therapy approved to increase linear growth in children with achondroplasia is called Vosoritide "Voxzogo". In the European Union, vosoritide is indicated for the treatment of achondroplasia in children 2 years of age and older whose epiphyses are not closed, (4,5) and for children with achondroplasia 5 years and older by the American FDA. (6) Vosoritide is given as a single daily dose of subcutaneous injection to prevent the inhibition of chondrocyte mineralization resulting from FGFR3 mutation and allows linear bone growth. The diagnosis of achondroplasia should be confirmed by appropriate genetic testing.</t>
  </si>
  <si>
    <t xml:space="preserve">• EU indication: from 2 years → from 4 months.
• FDA indication: 5 years and older → all ages with open epiphyses (Oct 2023).
• Added: treatment must be started and directed by a physician qualified in growth disorders / skeletal dysplasia.
• Added: no dosing recommendation below 4 months.
• Removed: the sentence "diagnosis should be confirmed by appropriate genetic testing" (still required under 5.3.2 inclusion, so the intent survives).
Note: the 2024 text was internally inconsistent (label from 2 y but local start from 4 months) – the update fixes this.</t>
  </si>
  <si>
    <t xml:space="preserve">Old (4,5) &amp; (6) → New (6) SmPC &amp; (11) FDA release</t>
  </si>
  <si>
    <t xml:space="preserve">5.3.2 b</t>
  </si>
  <si>
    <t xml:space="preserve">Inclusion – duration of treatment</t>
  </si>
  <si>
    <t xml:space="preserve">b) Achondroplasia cases from 4 months to 10 years of age and to be continued up to 18 years of age or until the stopping criteria in 5.4 are met, regardless of gender.</t>
  </si>
  <si>
    <t xml:space="preserve">b) Achondroplasia cases from 4 months to 10 years of age and to be continued up to 18 years of age or until AGV is &lt;1.5 cm, regardless of gender.</t>
  </si>
  <si>
    <t xml:space="preserve">Wording only: "until AGV is &lt;1.5 cm" now reads "until the stopping criteria in 5.4 are met". Because 5.4 keeps the 2024 rule, the meaning is the same – there's just one place where the rule is written.</t>
  </si>
  <si>
    <t xml:space="preserve">Exclusion – poor response after 1 year</t>
  </si>
  <si>
    <t xml:space="preserve">Removed from the exclusion list – the rule now sits in 5.4 (stopping criteria).</t>
  </si>
  <si>
    <t xml:space="preserve">2. Achondroplasia cases whose annual growth velocity is &lt; 1.5 cm after completing one year of vosoritide treatment.</t>
  </si>
  <si>
    <t xml:space="preserve">5.3.3 (2)</t>
  </si>
  <si>
    <t xml:space="preserve">Not lost: the same rule (AGV &lt;1.5 cm after one year of treatment → stop) is kept in 5.4 and in the AGV row of the 5.5.5 follow-up table. It has moved from 'exclusion' to 'stopping'. The remaining exclusions are renumbered.</t>
  </si>
  <si>
    <t xml:space="preserve">Exclusion – non-compliance</t>
  </si>
  <si>
    <t xml:space="preserve">Removed from the exclusion list.</t>
  </si>
  <si>
    <t xml:space="preserve">4. Achondroplasia cases who are not compliant to treatment.</t>
  </si>
  <si>
    <t xml:space="preserve">5.3.3 (4)</t>
  </si>
  <si>
    <t xml:space="preserve">Dropped as an exclusion. Compliance is still required to start treatment (5.3.2 d), but there is no explicit rule for a patient who becomes non-compliant on treatment.</t>
  </si>
  <si>
    <t xml:space="preserve">5.3.3</t>
  </si>
  <si>
    <t xml:space="preserve">Shared decision-making (NEW)</t>
  </si>
  <si>
    <t xml:space="preserve">Shared decision-making: decisions to start vosoritide should be individualised and made jointly with the family, taking into account the available evidence, treatment burden, family preferences, and cultural, financial and healthcare-system considerations (12).</t>
  </si>
  <si>
    <t xml:space="preserve">Adds a formal shared decision-making step with the family before starting treatment.</t>
  </si>
  <si>
    <t xml:space="preserve">5.3.4</t>
  </si>
  <si>
    <t xml:space="preserve">Side effect – hypotension &amp; pre-dose advice</t>
  </si>
  <si>
    <t xml:space="preserve">A temporary decrease in blood pressure in some patients. To reduce the risk of a decrease in blood pressure and associated symptoms, patients should be well hydrated, eat a light snack and drink an adequate amount of fluid (e.g., water, milk or juice) about 30 minutes before injecting (6).</t>
  </si>
  <si>
    <t xml:space="preserve">A temporary decrease in blood pressure in some patients. To reduce the risk of a decrease in blood pressure and associated symptoms, patients should eat a meal and drink 8 to 10 ounces of fluid within 1 hour before receiving Vosoritide.</t>
  </si>
  <si>
    <t xml:space="preserve">Pre-dose advice aligned with the EU SmPC: "a meal + 8–10 oz fluid within 1 hour" → "well hydrated, light snack and adequate fluid about 30 minutes before". Patient/caregiver leaflets should be updated to match.</t>
  </si>
  <si>
    <t xml:space="preserve">Uncited → ref 6 (SmPC)</t>
  </si>
  <si>
    <t xml:space="preserve">Contraindication, pregnancy, driving (NEW)</t>
  </si>
  <si>
    <t xml:space="preserve">Vosoritide is contraindicated in hypersensitivity to the active substance or any excipient. Use during pregnancy should preferably be avoided, and it should not be used during breast-feeding. Patients may be advised not to drive, cycle or use machines for at least 60 minutes after injection (6).</t>
  </si>
  <si>
    <t xml:space="preserve">Adds the SmPC contraindication (hypersensitivity), pregnancy / breast-feeding precautions and the 60-minute no-driving / cycling / machinery advice.</t>
  </si>
  <si>
    <t xml:space="preserve">New citation of ref 6 (SmPC)</t>
  </si>
  <si>
    <t xml:space="preserve">Adverse reactions table (SmPC)</t>
  </si>
  <si>
    <t xml:space="preserve">Moved into 5.3.4 under the side-effect bullets, with the lead line "Adverse reactions by frequency (SmPC) (6):". Table content unchanged (very common: hypotension, vomiting, injection site reaction, increased alkaline phosphatase; common: syncope, pre-syncope, dizziness, nausea, fatigue).</t>
  </si>
  <si>
    <t xml:space="preserve">Same table, placed on its own after 5.6 (renal and hepatic impairment), with no heading or citation.</t>
  </si>
  <si>
    <t xml:space="preserve">after 5.6</t>
  </si>
  <si>
    <t xml:space="preserve">Merged with the side-effect list, so all side-effect information is now in one place, and cited to the SmPC.</t>
  </si>
  <si>
    <t xml:space="preserve">Uncited → ref 6</t>
  </si>
  <si>
    <t xml:space="preserve">5.3.5</t>
  </si>
  <si>
    <t xml:space="preserve">Dose basis (NEW sub-section)</t>
  </si>
  <si>
    <t xml:space="preserve">The dose is based on body weight and is approximately 15–30 µg/kg, with the higher dose per kg given to the smallest children (see Table 12.1) (6).</t>
  </si>
  <si>
    <t xml:space="preserve">No dosing text. Dosing only shown in Table 12.1.</t>
  </si>
  <si>
    <t xml:space="preserve">12.1</t>
  </si>
  <si>
    <t xml:space="preserve">New section 5.3.5 "Dose, units and administration". States the µg/kg range and links to the updated table.</t>
  </si>
  <si>
    <t xml:space="preserve">Ref 6 (SmPC)</t>
  </si>
  <si>
    <t xml:space="preserve">Syringe units</t>
  </si>
  <si>
    <t xml:space="preserve">The dose can be measured with either mL-graduated or Unit (U)-graduated syringes; 0.1 mL = 10 Units (6).</t>
  </si>
  <si>
    <t xml:space="preserve">Adds the mL ↔ Unit conversion – useful for pharmacy and nursing to avoid dosing errors.</t>
  </si>
  <si>
    <t xml:space="preserve">Ref 6</t>
  </si>
  <si>
    <t xml:space="preserve">Dose review against weight</t>
  </si>
  <si>
    <t xml:space="preserve">Body weight, growth and physical development should be assessed every 3–6 months and the dose adjusted to the current weight band (6).</t>
  </si>
  <si>
    <t xml:space="preserve">Adds a formal weight-band dose review every 3–6 months.</t>
  </si>
  <si>
    <t xml:space="preserve">Administration &amp; site rotation</t>
  </si>
  <si>
    <t xml:space="preserve">Administer within 3 hours of reconstitution, at approximately the same time each day. Rotate injection sites (front middle of the thighs, lower abdomen avoiding 5 cm around the navel, top of the buttocks, back of the upper arms); do not use the same area on two consecutive days or inject into red, swollen or tender skin (6).</t>
  </si>
  <si>
    <t xml:space="preserve">Adds reconstitution time limit (3 h), timing and injection-site rotation rules.</t>
  </si>
  <si>
    <t xml:space="preserve">Missed dose</t>
  </si>
  <si>
    <t xml:space="preserve">Missed dose: it may be given within 12 hours; if more than 12 hours have passed, the missed dose should not be given and the next dose is given the following day as scheduled (6).</t>
  </si>
  <si>
    <t xml:space="preserve">Adds a missed-dose rule (12-hour window).</t>
  </si>
  <si>
    <t xml:space="preserve">Caregiver training</t>
  </si>
  <si>
    <t xml:space="preserve">Before the first injection, caregivers should be trained by a healthcare professional, ideally a specialist nurse, in preparation and subcutaneous injection technique, injection-site rotation, and recognising and managing signs and symptoms of decreased blood pressure (6,12).</t>
  </si>
  <si>
    <t xml:space="preserve">Adds mandatory caregiver training before the first dose, ideally by a specialist nurse.</t>
  </si>
  <si>
    <t xml:space="preserve">Refs 6, 12</t>
  </si>
  <si>
    <t xml:space="preserve">First dose under supervision</t>
  </si>
  <si>
    <t xml:space="preserve">The first dose should be given under medical supervision, with an observation period of approximately 1 hour to monitor for adverse reactions, particularly transient hypotension (12).</t>
  </si>
  <si>
    <t xml:space="preserve">First dose in clinic with ~1 hour observation. Has a scheduling / day-unit impact.</t>
  </si>
  <si>
    <t xml:space="preserve">5.5 Monitoring &amp; Follow-up</t>
  </si>
  <si>
    <t xml:space="preserve">5.5.1</t>
  </si>
  <si>
    <t xml:space="preserve">Treatment-informing assessments</t>
  </si>
  <si>
    <t xml:space="preserve">• Parental height considerations
• Annual skeletal survey for evaluation of growth plate and bone age
• Vitamin D level</t>
  </si>
  <si>
    <t xml:space="preserve">• Parental height considerations
• Tanner staging
• Bone age
• Annual skeletal survey for evaluation of growth plate
• Vitamin D level</t>
  </si>
  <si>
    <t xml:space="preserve">"Tanner staging" removed from this list (now in the baseline table 5.5.4 and from ~8 years in the follow-up table 5.5.5). "Bone age" merged into the annual skeletal survey line.</t>
  </si>
  <si>
    <t xml:space="preserve">5.5.2</t>
  </si>
  <si>
    <t xml:space="preserve">Efficacy assessments</t>
  </si>
  <si>
    <t xml:space="preserve">• Symptoms (headaches, vision changes, worsening joint pain)</t>
  </si>
  <si>
    <t xml:space="preserve">• Anthropometrics (standing and sitting height, height, arm span, flexion and contractures, upper and lower arm segment)
• Annualized growth velocity
• Symptoms (headaches, vision changes, worsening joint pain)</t>
  </si>
  <si>
    <t xml:space="preserve">Anthropometrics and AGV bullets removed from here. Anthropometry is now in the baseline table (5.5.4) and the follow-up table (5.5.5, height/weight and segment ratio); AGV is in 5.5.5 (every 6 months).</t>
  </si>
  <si>
    <t xml:space="preserve">5.5.3</t>
  </si>
  <si>
    <t xml:space="preserve">Safety assessment</t>
  </si>
  <si>
    <t xml:space="preserve">• Discussion of other intervention</t>
  </si>
  <si>
    <t xml:space="preserve">• Review adverse events
• Discussion of concomitant/new medications
• Discussion of other intervention</t>
  </si>
  <si>
    <t xml:space="preserve">"Review adverse events" and "Discussion of concomitant/new medications" removed from this list. Adverse events are now checked at every visit (5.5.5); concomitant medications are documented at baseline (5.5.4) and stay at every 6 months through appendix 11.20.</t>
  </si>
  <si>
    <t xml:space="preserve">5.5.4</t>
  </si>
  <si>
    <t xml:space="preserve">Baseline assessment – intro (NEW)</t>
  </si>
  <si>
    <t xml:space="preserve">The following assessments should be completed and documented before the first dose (6,12–15):</t>
  </si>
  <si>
    <t xml:space="preserve">New structured pre-treatment checklist (7 domains below).</t>
  </si>
  <si>
    <t xml:space="preserve">Refs 6, 12–15 (12–15 all new)</t>
  </si>
  <si>
    <t xml:space="preserve">Baseline – Diagnosis and eligibility</t>
  </si>
  <si>
    <t xml:space="preserve">Confirm achondroplasia clinically/radiologically and genetically by molecular testing of the FGFR3 gene (mandatory); verify eligibility and open growth potential according to applicable label.</t>
  </si>
  <si>
    <t xml:space="preserve">Partly covered: "Day 0" items in appendix 11.20 and the "Considerations" figure (genetic confirmation, open growth plates).</t>
  </si>
  <si>
    <t xml:space="preserve">11.20 / 5.3.2</t>
  </si>
  <si>
    <t xml:space="preserve">Now a formal documented baseline step, with FGFR3 molecular confirmation stated as mandatory.</t>
  </si>
  <si>
    <t xml:space="preserve">Refs 6, 12–15</t>
  </si>
  <si>
    <t xml:space="preserve">Baseline – Anthropometry</t>
  </si>
  <si>
    <t xml:space="preserve">Length/standing height, weight, head circumference in younger children, BMI, sitting height; consider arm span and upper/lower segment measurements where feasible.</t>
  </si>
  <si>
    <t xml:space="preserve">Appendix 11.20: anthropometrics at Day 0 (standing &amp; sitting height, height, arm span, flexion &amp; contractures, upper &amp; lower arm segment).</t>
  </si>
  <si>
    <t xml:space="preserve">11.20</t>
  </si>
  <si>
    <t xml:space="preserve">Adds weight, head circumference (younger children) and BMI to the baseline set.</t>
  </si>
  <si>
    <t xml:space="preserve">Baseline – Growth history</t>
  </si>
  <si>
    <t xml:space="preserve">Review reliable prior measurements and calculate pretreatment annualized growth velocity (AGV) when sufficient longitudinal data are available.</t>
  </si>
  <si>
    <t xml:space="preserve">Pre-treatment AGV now required (gives a baseline to judge response).</t>
  </si>
  <si>
    <t xml:space="preserve">Baseline – Puberty / skeletal maturity</t>
  </si>
  <si>
    <t xml:space="preserve">Document Tanner stage when age appropriate; assess growth-plate status when clinically indicated.</t>
  </si>
  <si>
    <t xml:space="preserve">Appendix 11.20: Tanner staging, bone age and X-ray at Day 0.</t>
  </si>
  <si>
    <t xml:space="preserve">Tanner "when age appropriate" (not for every infant); growth-plate imaging "when clinically indicated".</t>
  </si>
  <si>
    <t xml:space="preserve">Baseline – Achondroplasia complications</t>
  </si>
  <si>
    <t xml:space="preserve">Review neurologic/neurosurgical, sleep/respiratory, ENT/hearing, orthopedic/spinal, nutritional/weight and functional domains according to standard care.</t>
  </si>
  <si>
    <t xml:space="preserve">Full complications review before the first dose.</t>
  </si>
  <si>
    <t xml:space="preserve">Baseline – Medication and health review</t>
  </si>
  <si>
    <t xml:space="preserve">Document concomitant medications, intercurrent conditions, prior surgery, and factors that could independently affect growth.</t>
  </si>
  <si>
    <t xml:space="preserve">5.5.3: "Discussion of concomitant/new medications" (every 6 months per appendix 11.20).</t>
  </si>
  <si>
    <t xml:space="preserve">Now a baseline item; broadened to include intercurrent illness and prior surgery.</t>
  </si>
  <si>
    <t xml:space="preserve">Baseline – Patient-centred outcomes</t>
  </si>
  <si>
    <t xml:space="preserve">Record baseline functional status and patient/family-reported outcomes or QoL where feasible (18).</t>
  </si>
  <si>
    <t xml:space="preserve">Adds baseline QoL / patient-reported outcomes.</t>
  </si>
  <si>
    <t xml:space="preserve">New ref 18</t>
  </si>
  <si>
    <t xml:space="preserve">5.5.5</t>
  </si>
  <si>
    <t xml:space="preserve">Follow-up schedule by age group (NEW table)</t>
  </si>
  <si>
    <t xml:space="preserve">New table. 0–2 years: visits every 3 months, height/weight every visit, no Tanner staging. Over 2 years: the 2024 timings (baseline, Month 1, Month 3, then every 6 months). Adds head circumference, dose check against weight band, neurological exam and sleep review.
→ Row-by-row comparison on the 'Monitoring Schedule' sheet.</t>
  </si>
  <si>
    <t xml:space="preserve">Appendix 11.20 timing table: Day 0, Month 1, Month 3, every 6 months, annually – one schedule for all ages.</t>
  </si>
  <si>
    <t xml:space="preserve">Age-stratified follow-up. Infants (0–2 y) are seen more often than in 2024 (every 3 months instead of every 6 months after Month 3). For children over 2 the timings match the 2024 appendix 11.20.</t>
  </si>
  <si>
    <t xml:space="preserve">Refs 6, 12, 13, 16, 17, 19</t>
  </si>
  <si>
    <t xml:space="preserve">5.5.6</t>
  </si>
  <si>
    <t xml:space="preserve">Long-term care – QoL tools (NEW)</t>
  </si>
  <si>
    <t xml:space="preserve">Validated quality-of-life tools (e.g., PedsQL, QoLISSY) should be used to monitor patient wellbeing over time and guide individualised interventions (12).</t>
  </si>
  <si>
    <t xml:space="preserve">Adds routine QoL monitoring with named validated tools.</t>
  </si>
  <si>
    <t xml:space="preserve">Long-term care – transition (NEW)</t>
  </si>
  <si>
    <t xml:space="preserve">Transition from paediatric to adult care should be planned in a structured manner, ideally through transition clinics involving both paediatric and adult specialists, and should include guidance on employment and independent living (12).</t>
  </si>
  <si>
    <t xml:space="preserve">Adds a structured paediatric-to-adult transition pathway.</t>
  </si>
  <si>
    <t xml:space="preserve">9. References  |  10. Disclaimer  |  11. Appendix</t>
  </si>
  <si>
    <t xml:space="preserve">9</t>
  </si>
  <si>
    <t xml:space="preserve">Bibliographic sources</t>
  </si>
  <si>
    <t xml:space="preserve">19 references (1–19).</t>
  </si>
  <si>
    <t xml:space="preserve">11 references (1–11).</t>
  </si>
  <si>
    <t xml:space="preserve">9 new references added (11–19), 1 duplicate removed, 1 rewritten (SmPC), 4 renumbered. Refs 4 and 5 are still listed but no longer cited in the text and describe the old age limits. → Full detail on the 'References' sheet.</t>
  </si>
  <si>
    <t xml:space="preserve">See 'References' sheet</t>
  </si>
  <si>
    <t xml:space="preserve">Appendix – assessment &amp; follow-up protocol</t>
  </si>
  <si>
    <t xml:space="preserve">2024 timing table retained, plus a new note underneath: "For children aged 0–2 years, the follow-up schedule in section 5.5.5 takes priority over this appendix (visits every 3 months, with height and weight at every visit, and no Tanner staging). For children over 2 years, the timings in this appendix apply."</t>
  </si>
  <si>
    <t xml:space="preserve">Assessment and follow-up protocol table (Day 0 / Month 1 / Month 3 / every 6 months / annually).</t>
  </si>
  <si>
    <t xml:space="preserve">The note removes the conflict between 11.20 and 5.5.5 for infants.</t>
  </si>
  <si>
    <t xml:space="preserve">12. Tables  |  13. Approval  |  14. CPG History</t>
  </si>
  <si>
    <t xml:space="preserve">Vosoritide dosing table</t>
  </si>
  <si>
    <t xml:space="preserve">Updated SmPC Table 1: 11 weight bands from 4 kg up to ≥90 kg, with dose, vial strength, solvent volume &amp; concentration, and daily volume in mL and Units.
→ Band-by-band comparison on the 'Dosing Table 12.1' sheet.</t>
  </si>
  <si>
    <t xml:space="preserve">"Vosoretide Treatment (BioMarin)": 8 weight bands from 10 kg up to ≥90 kg.</t>
  </si>
  <si>
    <t xml:space="preserve">Fills an important gap: the 2024 table started at 10 kg even though treatment was allowed from 4 months, so there was no dose for babies under 10 kg. New bands 4, 5, 6–7 and 8–11 kg added. Doses for 10 kg and above are the same. The old table has been removed, so the document now has a single dosing table.</t>
  </si>
  <si>
    <t xml:space="preserve">13</t>
  </si>
  <si>
    <t xml:space="preserve">Review &amp; approval</t>
  </si>
  <si>
    <t xml:space="preserve">Same names and titles (Dr. Maha Faden, Dr. Sauzan Al Hameidi, Dr. Sauzan Haj-Kheder, Dr. Aziza A. Dongues, Dr. Adil Hussain, Mr. Ali Asmar, Dr. Abdulwahab Al Ayoubi, Dr. Yousef Al Otaibi). Signature and date fields blank.</t>
  </si>
  <si>
    <t xml:space="preserve">Same names and titles, dated 18/08/24 – 27/08/24.</t>
  </si>
  <si>
    <t xml:space="preserve">Sign-off dates cleared for re-approval. No change to the review panel.</t>
  </si>
  <si>
    <t xml:space="preserve">14</t>
  </si>
  <si>
    <t xml:space="preserve">CPG history</t>
  </si>
  <si>
    <t xml:space="preserve">Number and version: CPG/DMT-A/332. Replaces: [blank]. Effective date: [blank]. Revision date: [blank].</t>
  </si>
  <si>
    <t xml:space="preserve">Number and version: CPG/DMT-A/332. Replaces: None. Effective date: 27/08/24. Revision date: 26/08/26.</t>
  </si>
  <si>
    <t xml:space="preserve">Needs completing before issue: "Replaces" should reference the 2024 version (effective 27/08/24), and new effective / revision dates added. Consider a version suffix (e.g. v2) so the two documents can be told apart.</t>
  </si>
  <si>
    <t xml:space="preserve">Table 12.1 – Vosoritide dose by body weight: revised vs 2024 (changes only)</t>
  </si>
  <si>
    <t xml:space="preserve">Updated = SmPC Table 1 (ref 6). Old = 2024 'Vosoretide Treatment (BioMarin)'. Frequency is once daily in both. Only bands that are new or changed are shown.</t>
  </si>
  <si>
    <t xml:space="preserve">REVISED (SmPC Table 1)</t>
  </si>
  <si>
    <t xml:space="preserve">OLD (2024)</t>
  </si>
  <si>
    <t xml:space="preserve">Body weight (kg)</t>
  </si>
  <si>
    <t xml:space="preserve">Dose</t>
  </si>
  <si>
    <t xml:space="preserve">Vial strength</t>
  </si>
  <si>
    <t xml:space="preserve">Solvent; concentration</t>
  </si>
  <si>
    <t xml:space="preserve">Volume (mL)</t>
  </si>
  <si>
    <t xml:space="preserve">Volume (Units)</t>
  </si>
  <si>
    <t xml:space="preserve">Body weight</t>
  </si>
  <si>
    <t xml:space="preserve">Concentration</t>
  </si>
  <si>
    <t xml:space="preserve">Comment</t>
  </si>
  <si>
    <t xml:space="preserve">4</t>
  </si>
  <si>
    <t xml:space="preserve">0.12 mg</t>
  </si>
  <si>
    <t xml:space="preserve">0.4 mg</t>
  </si>
  <si>
    <t xml:space="preserve">0.5 mL; 0.8 mg/mL</t>
  </si>
  <si>
    <t xml:space="preserve">0.15 mL</t>
  </si>
  <si>
    <t xml:space="preserve">15 U</t>
  </si>
  <si>
    <t xml:space="preserve">— no band —</t>
  </si>
  <si>
    <t xml:space="preserve">No 2024 dose for a 4 kg infant.</t>
  </si>
  <si>
    <t xml:space="preserve">5</t>
  </si>
  <si>
    <t xml:space="preserve">0.16 mg</t>
  </si>
  <si>
    <t xml:space="preserve">0.20 mL</t>
  </si>
  <si>
    <t xml:space="preserve">20 U</t>
  </si>
  <si>
    <t xml:space="preserve">No 2024 dose for a 5 kg infant.</t>
  </si>
  <si>
    <t xml:space="preserve">6–7</t>
  </si>
  <si>
    <t xml:space="preserve">0.20 mg</t>
  </si>
  <si>
    <t xml:space="preserve">0.25 mL</t>
  </si>
  <si>
    <t xml:space="preserve">25 U</t>
  </si>
  <si>
    <t xml:space="preserve">No 2024 dose for 6–7 kg.</t>
  </si>
  <si>
    <t xml:space="preserve">8–11</t>
  </si>
  <si>
    <t xml:space="preserve">0.24 mg</t>
  </si>
  <si>
    <t xml:space="preserve">0.30 mL</t>
  </si>
  <si>
    <t xml:space="preserve">30 U</t>
  </si>
  <si>
    <t xml:space="preserve">10 to &lt;12 kg</t>
  </si>
  <si>
    <t xml:space="preserve">0.4 mg/vial</t>
  </si>
  <si>
    <t xml:space="preserve">0.8 mg/mL</t>
  </si>
  <si>
    <t xml:space="preserve">0.3 mL</t>
  </si>
  <si>
    <t xml:space="preserve">Same dose (0.24 mg / 30 U). Lower edge moved from 10 kg down to 8 kg.</t>
  </si>
  <si>
    <t xml:space="preserve">Key points</t>
  </si>
  <si>
    <t xml:space="preserve">• The 2024 table started at 10 kg, although the guideline allowed treatment from 4 months. Infants under 10 kg had no listed dose. The update adds 4 kg, 5 kg, 6–7 kg and 8–11 kg bands.</t>
  </si>
  <si>
    <t xml:space="preserve">• Bands from 12 kg upwards are not listed because dose, vial and volume are identical in both versions.</t>
  </si>
  <si>
    <t xml:space="preserve">• Added in the update: solvent volume for reconstitution (0.5 / 0.7 / 0.6 mL). Dropped: the 'Frequency of dosing' column (once daily in both).</t>
  </si>
  <si>
    <t xml:space="preserve">• The old 2024 table has been removed from the revised draft, so there is now one dosing table only.</t>
  </si>
  <si>
    <t xml:space="preserve">Follow-up schedule: revised 5.5.5 vs 2024 appendix 11.20 (changes only)</t>
  </si>
  <si>
    <t xml:space="preserve">Revised = age-stratified table in 5.5.5. Old = 2024 appendix 11.20. Items with the same timing in both (AGV, segment ratio, skeletal survey, vitamin D, parental height, concomitant medications) are not listed.</t>
  </si>
  <si>
    <t xml:space="preserve">REVISED (5.5.5)</t>
  </si>
  <si>
    <t xml:space="preserve">OLD (2024, appendix 11.20)</t>
  </si>
  <si>
    <t xml:space="preserve">Assessment</t>
  </si>
  <si>
    <t xml:space="preserve">0–2 years</t>
  </si>
  <si>
    <t xml:space="preserve">Over 2 years to growth-plate closure</t>
  </si>
  <si>
    <t xml:space="preserve">Refs</t>
  </si>
  <si>
    <t xml:space="preserve">Old timing (all ages)</t>
  </si>
  <si>
    <t xml:space="preserve">Visit interval</t>
  </si>
  <si>
    <t xml:space="preserve">Every 3 months</t>
  </si>
  <si>
    <t xml:space="preserve">Baseline (Day 0), Month 1, Month 3, then every 6 months</t>
  </si>
  <si>
    <t xml:space="preserve">0–2 y: 6,12,13; over 2 y: 2024 CPG</t>
  </si>
  <si>
    <t xml:space="preserve">Day 0, Month 1, Month 3, then every 6 months (all ages)</t>
  </si>
  <si>
    <t xml:space="preserve">Changed for 0–2 years only: every 3 months throughout. Over 2 years keeps the 2024 schedule.</t>
  </si>
  <si>
    <t xml:space="preserve">Length/height and weight</t>
  </si>
  <si>
    <t xml:space="preserve">Every visit</t>
  </si>
  <si>
    <t xml:space="preserve">Baseline, then every 6 months</t>
  </si>
  <si>
    <t xml:space="preserve">0–2 y: 12,13,17; over 2 y: 2024 CPG</t>
  </si>
  <si>
    <t xml:space="preserve">Anthropometrics: Day 0 and every 6 months</t>
  </si>
  <si>
    <t xml:space="preserve">Infants measured every 3 months (needed for the weight-band dose check). Over 2 years unchanged.</t>
  </si>
  <si>
    <t xml:space="preserve">Head circumference</t>
  </si>
  <si>
    <t xml:space="preserve">Every visit up to about 5 years; then not routine</t>
  </si>
  <si>
    <t xml:space="preserve">12,13</t>
  </si>
  <si>
    <t xml:space="preserve">Not specified</t>
  </si>
  <si>
    <t xml:space="preserve">New item. Linked to the foramen magnum / hydrocephalus risk in young children.</t>
  </si>
  <si>
    <t xml:space="preserve">Dose check against weight band</t>
  </si>
  <si>
    <t xml:space="preserve">Every 6 months</t>
  </si>
  <si>
    <t xml:space="preserve">6,13</t>
  </si>
  <si>
    <t xml:space="preserve">New. Matches 5.3.5 (weight-band review every 3–6 months).</t>
  </si>
  <si>
    <t xml:space="preserve">Neurological examination</t>
  </si>
  <si>
    <t xml:space="preserve">Symptoms (headaches, vision changes, joint pain): Month 1, Month 3, every 6 months</t>
  </si>
  <si>
    <t xml:space="preserve">Symptom check becomes a formal neurological examination at every visit.</t>
  </si>
  <si>
    <t xml:space="preserve">Sleep symptom review</t>
  </si>
  <si>
    <t xml:space="preserve">Every visit; repeat sleep study if symptoms</t>
  </si>
  <si>
    <t xml:space="preserve">Every visit; sleep study if symptoms</t>
  </si>
  <si>
    <t xml:space="preserve">12,19</t>
  </si>
  <si>
    <t xml:space="preserve">New. Ties in with routine polysomnography in infancy (5.2).</t>
  </si>
  <si>
    <t xml:space="preserve">Adverse events, injection sites, hypotension symptoms</t>
  </si>
  <si>
    <t xml:space="preserve">6,16,17</t>
  </si>
  <si>
    <t xml:space="preserve">Review adverse events: every 6 months</t>
  </si>
  <si>
    <t xml:space="preserve">Every visit, so every 3 months for infants. Injection sites and hypotension now named explicitly.</t>
  </si>
  <si>
    <t xml:space="preserve">Tanner stage</t>
  </si>
  <si>
    <t xml:space="preserve">No</t>
  </si>
  <si>
    <t xml:space="preserve">From about 8 years, every 6 months</t>
  </si>
  <si>
    <t xml:space="preserve">Day 0 and every 6 months (all ages)</t>
  </si>
  <si>
    <t xml:space="preserve">No longer done in young children; starts from about 8 years.</t>
  </si>
  <si>
    <t xml:space="preserve">Note under appendix 11.20</t>
  </si>
  <si>
    <t xml:space="preserve">5.5.5 takes priority for 0–2 years</t>
  </si>
  <si>
    <t xml:space="preserve">Appendix 11.20 timings apply</t>
  </si>
  <si>
    <t xml:space="preserve">No such note (11.20 was the only schedule)</t>
  </si>
  <si>
    <t xml:space="preserve">Tells staff which schedule to follow, so the two tables no longer conflict.</t>
  </si>
  <si>
    <t xml:space="preserve">Section 9 – Reference list: revised vs 2024 (changes only)</t>
  </si>
  <si>
    <t xml:space="preserve">Revised list has 19 references; 2024 list had 11. References that are the same and keep their number (1–5) are not listed.</t>
  </si>
  <si>
    <t xml:space="preserve">REVISED</t>
  </si>
  <si>
    <t xml:space="preserve">#</t>
  </si>
  <si>
    <t xml:space="preserve">Reference (updated)</t>
  </si>
  <si>
    <t xml:space="preserve">Reference (2024)</t>
  </si>
  <si>
    <t xml:space="preserve">Comment / where cited</t>
  </si>
  <si>
    <t xml:space="preserve">6</t>
  </si>
  <si>
    <t xml:space="preserve">SUMMARY OF PRODUCT CHARACTERISTICS: Voxzogo (vosoritide) 0.4 mg, 0.56 mg and 1.2 mg powder and solvent for solution for injection. BioMarin International Limited; European Medicines Agency. Date of revision of the text: 10/2023. https://www.ema.europa.eu/en/medicines/human/EPAR/voxzogo</t>
  </si>
  <si>
    <t xml:space="preserve">SUMMARY OF PRODUCT CHARACTERISTICS. https://www.biomarin.com/our-treatments/products/voxzogo/</t>
  </si>
  <si>
    <t xml:space="preserve">Now a full, traceable EMA citation with revision date. It's the main source for 5.3.1, 5.3.4, 5.3.5, 5.4, 5.5.4–5.5.5 and Table 12.1. (In 2024, in-text '(6)' was used for the FDA statement.)</t>
  </si>
  <si>
    <t xml:space="preserve">7</t>
  </si>
  <si>
    <t xml:space="preserve">The first and only therapy approved to increase linear growth in children with achondroplasia aged 5 years and over with open growth plates. https://www.biomarin.com/our-treatments/products/voxzogo/#:~:text=...</t>
  </si>
  <si>
    <t xml:space="preserve">Duplicate of ref 4 (same BioMarin page). Rightly removed.</t>
  </si>
  <si>
    <t xml:space="preserve">Growth charts for Australian children with achondroplasia. Am J Med Genet A. 2017;173(8):2189-2200. doi:10.1002/ajmg.a.38312</t>
  </si>
  <si>
    <t xml:space="preserve">8</t>
  </si>
  <si>
    <t xml:space="preserve">8 → 7. Supports the growth charts in the appendix.</t>
  </si>
  <si>
    <t xml:space="preserve">Pauli RM. Achondroplasia: a comprehensive clinical review. Orphanet J Rare Dis. 2019;14:1. https://ojrd.biomedcentral.com/articles/10.1186/s13023-018-0972-6</t>
  </si>
  <si>
    <t xml:space="preserve">9 → 8.</t>
  </si>
  <si>
    <t xml:space="preserve">Clinical Practice Guidelines for Achondroplasia. Clin Pediatr Endocrinol. 2020;29(1):25–42. PMC6958518</t>
  </si>
  <si>
    <t xml:space="preserve">10</t>
  </si>
  <si>
    <t xml:space="preserve">10 → 9.</t>
  </si>
  <si>
    <t xml:space="preserve">https://www.chegg.com/learn/topic/achondroplastic-dwarfism</t>
  </si>
  <si>
    <t xml:space="preserve">11</t>
  </si>
  <si>
    <t xml:space="preserve">11 → 10. This is a general education website, not a peer-reviewed source. Consider replacing it.</t>
  </si>
  <si>
    <t xml:space="preserve">BioMarin Pharmaceutical Inc. U.S. FDA approves BioMarin's VOXZOGO® (vosoritide) for children under 5 years with achondroplasia; expanded indication now includes children of all ages with open growth plates. Press release, 20 October 2023.</t>
  </si>
  <si>
    <t xml:space="preserve">Cited in 5.3.1 (FDA all-ages approval).</t>
  </si>
  <si>
    <t xml:space="preserve">12</t>
  </si>
  <si>
    <t xml:space="preserve">Thalange N, Ben Omran T, Alsagheir A, Hussain K, Faden M, Aglan M, Alremeithi S, Habeb A. Consensus statement on the management of Achondroplasia in the Middle East. Front Endocrinol (Lausanne). 2026;17:1888346. doi:10.3389/fendo.2026.1888346</t>
  </si>
  <si>
    <t xml:space="preserve">Main driver of the new content (pink in the draft): prenatal diagnosis, infant screening, MDT, shared decision-making, first-dose observation, caregiver training, long-term care / transition, follow-up schedule. Note: Dr. M. Faden (preparer) is a co-author.</t>
  </si>
  <si>
    <t xml:space="preserve">Savarirayan R, Hoover-Fong J, Ozono K, et al. International consensus guidelines on the implementation and monitoring of vosoritide therapy in individuals with achondroplasia. Nat Rev Endocrinol. 2025;21(5):314–324. doi:10.1038/s41574-024-01074-9</t>
  </si>
  <si>
    <t xml:space="preserve">Cited in 5.5.4 and 5.5.5 (visit interval, anthropometry, neuro exam, Tanner, dose check).</t>
  </si>
  <si>
    <t xml:space="preserve">Savarirayan R, Ireland P, Irving M, et al. International Consensus Statement on the diagnosis, multidisciplinary management and lifelong care of individuals with achondroplasia. Nat Rev Endocrinol. 2022;18(3):173–189. doi:10.1038/s41574-021-00595-x</t>
  </si>
  <si>
    <t xml:space="preserve">Cited in 5.5.4 (baseline).</t>
  </si>
  <si>
    <t xml:space="preserve">15</t>
  </si>
  <si>
    <t xml:space="preserve">Barreda-Bonis AC, et al. Expert consensus for the management of patients with achondroplasia in treatment with vosoritide. An Pediatr (Engl Ed). 2024;101(6):401–410. doi:10.1016/j.anpede.2024.09.012</t>
  </si>
  <si>
    <t xml:space="preserve">16</t>
  </si>
  <si>
    <t xml:space="preserve">Savarirayan R, Wilcox WR, Harmatz P, et al. Vosoritide therapy in children with achondroplasia aged 3–59 months: phase 2 RCT. Lancet Child Adolesc Health. 2024;8(1):40–50. doi:10.1016/S2352-4642(23)00265-1</t>
  </si>
  <si>
    <t xml:space="preserve">Cited in 5.5.5 (adverse-event monitoring). Supports the infant / young-child data.</t>
  </si>
  <si>
    <t xml:space="preserve">17</t>
  </si>
  <si>
    <t xml:space="preserve">Savarirayan R, Irving M, Wilcox WR, et al. Sustained growth-promoting effects of vosoritide in children with achondroplasia from an ongoing phase 3 extension study. Med. 2025;6(5):100566. doi:10.1016/j.medj.2024.11.019</t>
  </si>
  <si>
    <t xml:space="preserve">Cited in 5.5.5 (height, AGV, segment ratio, AEs).</t>
  </si>
  <si>
    <t xml:space="preserve">18</t>
  </si>
  <si>
    <t xml:space="preserve">Savarirayan R, Irving M, Wilcox WR, et al. Persistent growth-promoting effects of vosoritide ... improvements in health-related quality of life. Genet Med. 2024;26(12):101274. doi:10.1016/j.gim.2024.101274</t>
  </si>
  <si>
    <t xml:space="preserve">Cited in 5.5.4 (patient-centred outcomes / QoL).</t>
  </si>
  <si>
    <t xml:space="preserve">19</t>
  </si>
  <si>
    <t xml:space="preserve">Guerdile MJ, et al. Sleep-disordered breathing in children with achondroplasia: 17 years' experience from a multidisciplinary team. J Pediatr Genet. 2025;14(1). doi:10.1055/s-0044-1791787</t>
  </si>
  <si>
    <t xml:space="preserve">Cited in 5.5.5 (sleep symptom review).</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</si>
</sst>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sz val="11"/>
      <color rgb="FF595959"/>
      <name val="Arial"/>
      <family val="0"/>
      <charset val="1"/>
    </font>
    <font>
      <b val="true"/>
      <sz val="10"/>
      <name val="Arial"/>
      <family val="0"/>
      <charset val="1"/>
    </font>
    <font>
      <sz val="10"/>
      <name val="Arial"/>
      <family val="0"/>
      <charset val="1"/>
    </font>
    <font>
      <b val="true"/>
      <sz val="11"/>
      <color rgb="FF1F4E79"/>
      <name val="Arial"/>
      <family val="0"/>
      <charset val="1"/>
    </font>
    <font>
      <b val="true"/>
      <sz val="10"/>
      <color rgb="FFFFFFFF"/>
      <name val="Arial"/>
      <family val="0"/>
      <charset val="1"/>
    </font>
    <font>
      <b val="true"/>
      <sz val="11"/>
      <color rgb="FF843C0C"/>
      <name val="Arial"/>
      <family val="0"/>
      <charset val="1"/>
    </font>
    <font>
      <b val="true"/>
      <sz val="11"/>
      <color rgb="FF404040"/>
      <name val="Arial"/>
      <family val="0"/>
      <charset val="1"/>
    </font>
    <font>
      <i val="true"/>
      <sz val="9"/>
      <color rgb="FF595959"/>
      <name val="Arial"/>
      <family val="0"/>
      <charset val="1"/>
    </font>
    <font>
      <b val="true"/>
      <sz val="11"/>
      <color rgb="FFFFFFFF"/>
      <name val="Arial"/>
      <family val="0"/>
      <charset val="1"/>
    </font>
    <font>
      <b val="true"/>
      <sz val="10"/>
      <color rgb="FF1F1F1F"/>
      <name val="Arial"/>
      <family val="0"/>
      <charset val="1"/>
    </font>
    <font>
      <b val="true"/>
      <sz val="9"/>
      <name val="Arial"/>
      <family val="0"/>
      <charset val="1"/>
    </font>
    <font>
      <sz val="9"/>
      <name val="Arial"/>
      <family val="0"/>
      <charset val="1"/>
    </font>
    <font>
      <i val="true"/>
      <sz val="9"/>
      <color rgb="FF808080"/>
      <name val="Arial"/>
      <family val="0"/>
      <charset val="1"/>
    </font>
  </fonts>
  <fills count="12">
    <fill>
      <patternFill patternType="none"/>
    </fill>
    <fill>
      <patternFill patternType="gray125"/>
    </fill>
    <fill>
      <patternFill patternType="solid">
        <fgColor rgb="FF404040"/>
        <bgColor rgb="FF595959"/>
      </patternFill>
    </fill>
    <fill>
      <patternFill patternType="solid">
        <fgColor rgb="FFF8CBF0"/>
        <bgColor rgb="FFD9D9D9"/>
      </patternFill>
    </fill>
    <fill>
      <patternFill patternType="solid">
        <fgColor rgb="FFFFE699"/>
        <bgColor rgb="FFFBEEE6"/>
      </patternFill>
    </fill>
    <fill>
      <patternFill patternType="solid">
        <fgColor rgb="FFF4B6B6"/>
        <bgColor rgb="FFF8CBF0"/>
      </patternFill>
    </fill>
    <fill>
      <patternFill patternType="solid">
        <fgColor rgb="FFDDEBF7"/>
        <bgColor rgb="FFEAF1FB"/>
      </patternFill>
    </fill>
    <fill>
      <patternFill patternType="solid">
        <fgColor rgb="FF1F4E79"/>
        <bgColor rgb="FF003366"/>
      </patternFill>
    </fill>
    <fill>
      <patternFill patternType="solid">
        <fgColor rgb="FF843C0C"/>
        <bgColor rgb="FF993366"/>
      </patternFill>
    </fill>
    <fill>
      <patternFill patternType="solid">
        <fgColor rgb="FFD9D9D9"/>
        <bgColor rgb="FFDDEBF7"/>
      </patternFill>
    </fill>
    <fill>
      <patternFill patternType="solid">
        <fgColor rgb="FFEAF1FB"/>
        <bgColor rgb="FFDDEBF7"/>
      </patternFill>
    </fill>
    <fill>
      <patternFill patternType="solid">
        <fgColor rgb="FFFBEEE6"/>
        <bgColor rgb="FFEAF1F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14" fillId="9" borderId="1" xfId="0" applyFont="true" applyBorder="true" applyAlignment="true" applyProtection="false">
      <alignment horizontal="general" vertical="center" textRotation="0" wrapText="false" indent="0" shrinkToFit="false"/>
      <protection locked="true" hidden="false"/>
    </xf>
    <xf numFmtId="164" fontId="15" fillId="10" borderId="1" xfId="0" applyFont="true" applyBorder="true" applyAlignment="true" applyProtection="false">
      <alignment horizontal="general" vertical="top" textRotation="0" wrapText="true" indent="0" shrinkToFit="false"/>
      <protection locked="true" hidden="false"/>
    </xf>
    <xf numFmtId="164" fontId="16" fillId="10" borderId="1" xfId="0" applyFont="true" applyBorder="true" applyAlignment="true" applyProtection="false">
      <alignment horizontal="general" vertical="top" textRotation="0" wrapText="true" indent="0" shrinkToFit="false"/>
      <protection locked="true" hidden="false"/>
    </xf>
    <xf numFmtId="164" fontId="17" fillId="11" borderId="1" xfId="0" applyFont="true" applyBorder="true" applyAlignment="true" applyProtection="false">
      <alignment horizontal="general" vertical="top" textRotation="0" wrapText="true" indent="0" shrinkToFit="false"/>
      <protection locked="true" hidden="false"/>
    </xf>
    <xf numFmtId="164" fontId="16" fillId="11"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7" fillId="11" borderId="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7" fillId="1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4E79"/>
          <bgColor rgb="FF000000"/>
        </patternFill>
      </fill>
    </dxf>
    <dxf>
      <fill>
        <patternFill patternType="solid">
          <fgColor rgb="FFD9D9D9"/>
          <bgColor rgb="FF000000"/>
        </patternFill>
      </fill>
    </dxf>
    <dxf>
      <fill>
        <patternFill patternType="solid">
          <fgColor rgb="FFEAF1FB"/>
          <bgColor rgb="FF000000"/>
        </patternFill>
      </fill>
    </dxf>
    <dxf>
      <fill>
        <patternFill patternType="solid">
          <fgColor rgb="FF1F1F1F"/>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843C0C"/>
          <bgColor rgb="FF000000"/>
        </patternFill>
      </fill>
    </dxf>
    <dxf>
      <fill>
        <patternFill patternType="solid">
          <fgColor rgb="FFFBEEE6"/>
          <bgColor rgb="FF000000"/>
        </patternFill>
      </fill>
    </dxf>
    <dxf>
      <fill>
        <patternFill patternType="solid">
          <fgColor rgb="FF808080"/>
          <bgColor rgb="FF000000"/>
        </patternFill>
      </fill>
    </dxf>
    <dxf>
      <fill>
        <patternFill patternType="solid">
          <fgColor rgb="FF404040"/>
          <bgColor rgb="FF000000"/>
        </patternFill>
      </fill>
    </dxf>
    <dxf>
      <fill>
        <patternFill patternType="solid">
          <fgColor rgb="FFF4B6B6"/>
          <bgColor rgb="FF000000"/>
        </patternFill>
      </fill>
    </dxf>
    <dxf>
      <fill>
        <patternFill patternType="solid">
          <fgColor rgb="FFF8CBF0"/>
          <bgColor rgb="FF000000"/>
        </patternFill>
      </fill>
    </dxf>
    <dxf>
      <fill>
        <patternFill patternType="solid">
          <fgColor rgb="FFFFE699"/>
          <bgColor rgb="FF000000"/>
        </patternFill>
      </fill>
    </dxf>
    <dxf>
      <fill>
        <patternFill>
          <bgColor rgb="FFF8CBF0"/>
        </patternFill>
      </fill>
    </dxf>
    <dxf>
      <fill>
        <patternFill>
          <bgColor rgb="FFFFE699"/>
        </patternFill>
      </fill>
    </dxf>
    <dxf>
      <fill>
        <patternFill>
          <bgColor rgb="FFF4B6B6"/>
        </patternFill>
      </fill>
    </dxf>
    <dxf>
      <fill>
        <patternFill>
          <bgColor rgb="FFE2EFDA"/>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BEEE6"/>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1FB"/>
      <rgbColor rgb="FFE2EFDA"/>
      <rgbColor rgb="FFFFE699"/>
      <rgbColor rgb="FF99CCFF"/>
      <rgbColor rgb="FFF8CBF0"/>
      <rgbColor rgb="FFCC99FF"/>
      <rgbColor rgb="FFF4B6B6"/>
      <rgbColor rgb="FF3366FF"/>
      <rgbColor rgb="FF33CCCC"/>
      <rgbColor rgb="FF99CC00"/>
      <rgbColor rgb="FFFFCC00"/>
      <rgbColor rgb="FFFF9900"/>
      <rgbColor rgb="FFFF6600"/>
      <rgbColor rgb="FF595959"/>
      <rgbColor rgb="FF969696"/>
      <rgbColor rgb="FF003366"/>
      <rgbColor rgb="FF339966"/>
      <rgbColor rgb="FF003300"/>
      <rgbColor rgb="FF1F1F1F"/>
      <rgbColor rgb="FF843C0C"/>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6" min="3" style="0" width="16"/>
    <col collapsed="false" customWidth="true" hidden="false" outlineLevel="0" max="7" min="7" style="0" width="40"/>
  </cols>
  <sheetData>
    <row r="1" customFormat="false" ht="24" hidden="false" customHeight="true" outlineLevel="0" collapsed="false">
      <c r="A1" s="1" t="s">
        <v>0</v>
      </c>
      <c r="B1" s="1"/>
      <c r="C1" s="1"/>
      <c r="D1" s="1"/>
      <c r="E1" s="1"/>
      <c r="F1" s="1"/>
      <c r="G1" s="1"/>
    </row>
    <row r="2" customFormat="false" ht="15" hidden="false" customHeight="false" outlineLevel="0" collapsed="false">
      <c r="A2" s="2" t="s">
        <v>1</v>
      </c>
      <c r="B2" s="2"/>
      <c r="C2" s="2"/>
      <c r="D2" s="2"/>
      <c r="E2" s="2"/>
      <c r="F2" s="2"/>
      <c r="G2" s="2"/>
    </row>
    <row r="4" customFormat="false" ht="27.75" hidden="false" customHeight="true" outlineLevel="0" collapsed="false">
      <c r="B4" s="3" t="s">
        <v>2</v>
      </c>
      <c r="C4" s="4" t="s">
        <v>3</v>
      </c>
      <c r="D4" s="4"/>
      <c r="E4" s="4"/>
      <c r="F4" s="4"/>
      <c r="G4" s="4"/>
    </row>
    <row r="5" customFormat="false" ht="27.75" hidden="false" customHeight="true" outlineLevel="0" collapsed="false">
      <c r="B5" s="3" t="s">
        <v>4</v>
      </c>
      <c r="C5" s="4" t="s">
        <v>5</v>
      </c>
      <c r="D5" s="4"/>
      <c r="E5" s="4"/>
      <c r="F5" s="4"/>
      <c r="G5" s="4"/>
    </row>
    <row r="6" customFormat="false" ht="27.75" hidden="false" customHeight="true" outlineLevel="0" collapsed="false">
      <c r="B6" s="3" t="s">
        <v>6</v>
      </c>
      <c r="C6" s="4" t="s">
        <v>7</v>
      </c>
      <c r="D6" s="4"/>
      <c r="E6" s="4"/>
      <c r="F6" s="4"/>
      <c r="G6" s="4"/>
    </row>
    <row r="8" customFormat="false" ht="15" hidden="false" customHeight="false" outlineLevel="0" collapsed="false">
      <c r="B8" s="5" t="s">
        <v>8</v>
      </c>
    </row>
    <row r="9" customFormat="false" ht="15" hidden="false" customHeight="false" outlineLevel="0" collapsed="false">
      <c r="B9" s="6" t="s">
        <v>9</v>
      </c>
      <c r="C9" s="6" t="s">
        <v>10</v>
      </c>
      <c r="D9" s="6" t="s">
        <v>11</v>
      </c>
      <c r="E9" s="6" t="s">
        <v>12</v>
      </c>
      <c r="F9" s="6" t="s">
        <v>13</v>
      </c>
      <c r="G9" s="6" t="s">
        <v>14</v>
      </c>
    </row>
    <row r="10" customFormat="false" ht="15" hidden="false" customHeight="false" outlineLevel="0" collapsed="false">
      <c r="B10" s="7" t="s">
        <v>15</v>
      </c>
      <c r="C10" s="8" t="n">
        <f aca="false">COUNTIF('Side-by-Side Comparison'!$F$5:$F$47,B10)</f>
        <v>20</v>
      </c>
      <c r="D10" s="8" t="n">
        <f aca="false">COUNTIF('Dosing Table 12.1'!$N$5:$N$8,B10)</f>
        <v>3</v>
      </c>
      <c r="E10" s="8" t="n">
        <f aca="false">COUNTIF('Monitoring Schedule'!$G$5:$G$13,B10)</f>
        <v>4</v>
      </c>
      <c r="F10" s="8" t="n">
        <f aca="false">COUNTIF(References!$F$5:$F$19,B10)</f>
        <v>9</v>
      </c>
      <c r="G10" s="9" t="s">
        <v>16</v>
      </c>
    </row>
    <row r="11" customFormat="false" ht="15" hidden="false" customHeight="false" outlineLevel="0" collapsed="false">
      <c r="B11" s="10" t="s">
        <v>17</v>
      </c>
      <c r="C11" s="8" t="n">
        <f aca="false">COUNTIF('Side-by-Side Comparison'!$F$5:$F$47,B11)</f>
        <v>15</v>
      </c>
      <c r="D11" s="8" t="n">
        <f aca="false">COUNTIF('Dosing Table 12.1'!$N$5:$N$8,B11)</f>
        <v>1</v>
      </c>
      <c r="E11" s="8" t="n">
        <f aca="false">COUNTIF('Monitoring Schedule'!$G$5:$G$13,B11)</f>
        <v>5</v>
      </c>
      <c r="F11" s="8" t="n">
        <f aca="false">COUNTIF(References!$F$5:$F$19,B11)</f>
        <v>1</v>
      </c>
      <c r="G11" s="9" t="s">
        <v>18</v>
      </c>
    </row>
    <row r="12" customFormat="false" ht="15" hidden="false" customHeight="false" outlineLevel="0" collapsed="false">
      <c r="B12" s="11" t="s">
        <v>19</v>
      </c>
      <c r="C12" s="8" t="n">
        <f aca="false">COUNTIF('Side-by-Side Comparison'!$F$5:$F$47,B12)</f>
        <v>2</v>
      </c>
      <c r="D12" s="8" t="n">
        <f aca="false">COUNTIF('Dosing Table 12.1'!$N$5:$N$8,B12)</f>
        <v>0</v>
      </c>
      <c r="E12" s="8" t="n">
        <f aca="false">COUNTIF('Monitoring Schedule'!$G$5:$G$13,B12)</f>
        <v>0</v>
      </c>
      <c r="F12" s="8" t="n">
        <f aca="false">COUNTIF(References!$F$5:$F$19,B12)</f>
        <v>1</v>
      </c>
      <c r="G12" s="9" t="s">
        <v>20</v>
      </c>
    </row>
    <row r="13" customFormat="false" ht="15" hidden="false" customHeight="false" outlineLevel="0" collapsed="false">
      <c r="B13" s="12" t="s">
        <v>21</v>
      </c>
      <c r="C13" s="8" t="n">
        <f aca="false">COUNTIF('Side-by-Side Comparison'!$F$5:$F$47,B13)</f>
        <v>0</v>
      </c>
      <c r="D13" s="8" t="n">
        <f aca="false">COUNTIF('Dosing Table 12.1'!$N$5:$N$8,B13)</f>
        <v>0</v>
      </c>
      <c r="E13" s="8" t="n">
        <f aca="false">COUNTIF('Monitoring Schedule'!$G$5:$G$13,B13)</f>
        <v>0</v>
      </c>
      <c r="F13" s="8" t="n">
        <f aca="false">COUNTIF(References!$F$5:$F$19,B13)</f>
        <v>4</v>
      </c>
      <c r="G13" s="9" t="s">
        <v>22</v>
      </c>
    </row>
    <row r="14" customFormat="false" ht="15" hidden="false" customHeight="false" outlineLevel="0" collapsed="false">
      <c r="B14" s="13" t="s">
        <v>23</v>
      </c>
      <c r="C14" s="14" t="n">
        <f aca="false">SUM(C10:C13)</f>
        <v>37</v>
      </c>
      <c r="D14" s="14" t="n">
        <f aca="false">SUM(D10:D13)</f>
        <v>4</v>
      </c>
      <c r="E14" s="14" t="n">
        <f aca="false">SUM(E10:E13)</f>
        <v>9</v>
      </c>
      <c r="F14" s="14" t="n">
        <f aca="false">SUM(F10:F13)</f>
        <v>15</v>
      </c>
      <c r="G14" s="13"/>
    </row>
    <row r="16" customFormat="false" ht="15" hidden="false" customHeight="false" outlineLevel="0" collapsed="false">
      <c r="B16" s="5" t="s">
        <v>24</v>
      </c>
    </row>
    <row r="17" customFormat="false" ht="31.5" hidden="false" customHeight="true" outlineLevel="0" collapsed="false">
      <c r="A17" s="15" t="n">
        <v>1</v>
      </c>
      <c r="B17" s="4" t="s">
        <v>25</v>
      </c>
      <c r="C17" s="4"/>
      <c r="D17" s="4"/>
      <c r="E17" s="4"/>
      <c r="F17" s="4"/>
      <c r="G17" s="4"/>
    </row>
    <row r="18" customFormat="false" ht="18" hidden="false" customHeight="true" outlineLevel="0" collapsed="false">
      <c r="A18" s="15" t="n">
        <v>2</v>
      </c>
      <c r="B18" s="4" t="s">
        <v>26</v>
      </c>
      <c r="C18" s="4"/>
      <c r="D18" s="4"/>
      <c r="E18" s="4"/>
      <c r="F18" s="4"/>
      <c r="G18" s="4"/>
    </row>
    <row r="19" customFormat="false" ht="18" hidden="false" customHeight="true" outlineLevel="0" collapsed="false">
      <c r="A19" s="15" t="n">
        <v>3</v>
      </c>
      <c r="B19" s="4" t="s">
        <v>27</v>
      </c>
      <c r="C19" s="4"/>
      <c r="D19" s="4"/>
      <c r="E19" s="4"/>
      <c r="F19" s="4"/>
      <c r="G19" s="4"/>
    </row>
    <row r="20" customFormat="false" ht="31.5" hidden="false" customHeight="true" outlineLevel="0" collapsed="false">
      <c r="A20" s="15" t="n">
        <v>4</v>
      </c>
      <c r="B20" s="4" t="s">
        <v>28</v>
      </c>
      <c r="C20" s="4"/>
      <c r="D20" s="4"/>
      <c r="E20" s="4"/>
      <c r="F20" s="4"/>
      <c r="G20" s="4"/>
    </row>
    <row r="21" customFormat="false" ht="31.5" hidden="false" customHeight="true" outlineLevel="0" collapsed="false">
      <c r="A21" s="15" t="n">
        <v>5</v>
      </c>
      <c r="B21" s="4" t="s">
        <v>29</v>
      </c>
      <c r="C21" s="4"/>
      <c r="D21" s="4"/>
      <c r="E21" s="4"/>
      <c r="F21" s="4"/>
      <c r="G21" s="4"/>
    </row>
    <row r="22" customFormat="false" ht="18" hidden="false" customHeight="true" outlineLevel="0" collapsed="false">
      <c r="A22" s="15" t="n">
        <v>6</v>
      </c>
      <c r="B22" s="4" t="s">
        <v>30</v>
      </c>
      <c r="C22" s="4"/>
      <c r="D22" s="4"/>
      <c r="E22" s="4"/>
      <c r="F22" s="4"/>
      <c r="G22" s="4"/>
    </row>
    <row r="23" customFormat="false" ht="18" hidden="false" customHeight="true" outlineLevel="0" collapsed="false">
      <c r="A23" s="15" t="n">
        <v>7</v>
      </c>
      <c r="B23" s="4" t="s">
        <v>31</v>
      </c>
      <c r="C23" s="4"/>
      <c r="D23" s="4"/>
      <c r="E23" s="4"/>
      <c r="F23" s="4"/>
      <c r="G23" s="4"/>
    </row>
    <row r="24" customFormat="false" ht="18" hidden="false" customHeight="true" outlineLevel="0" collapsed="false">
      <c r="A24" s="15" t="n">
        <v>8</v>
      </c>
      <c r="B24" s="4" t="s">
        <v>32</v>
      </c>
      <c r="C24" s="4"/>
      <c r="D24" s="4"/>
      <c r="E24" s="4"/>
      <c r="F24" s="4"/>
      <c r="G24" s="4"/>
    </row>
    <row r="25" customFormat="false" ht="31.5" hidden="false" customHeight="true" outlineLevel="0" collapsed="false">
      <c r="A25" s="15" t="n">
        <v>9</v>
      </c>
      <c r="B25" s="4" t="s">
        <v>33</v>
      </c>
      <c r="C25" s="4"/>
      <c r="D25" s="4"/>
      <c r="E25" s="4"/>
      <c r="F25" s="4"/>
      <c r="G25" s="4"/>
    </row>
    <row r="26" customFormat="false" ht="18" hidden="false" customHeight="true" outlineLevel="0" collapsed="false">
      <c r="A26" s="15" t="n">
        <v>10</v>
      </c>
      <c r="B26" s="4" t="s">
        <v>34</v>
      </c>
      <c r="C26" s="4"/>
      <c r="D26" s="4"/>
      <c r="E26" s="4"/>
      <c r="F26" s="4"/>
      <c r="G26" s="4"/>
    </row>
    <row r="28" customFormat="false" ht="15" hidden="false" customHeight="false" outlineLevel="0" collapsed="false">
      <c r="B28" s="16" t="s">
        <v>35</v>
      </c>
    </row>
    <row r="29" customFormat="false" ht="31.5" hidden="false" customHeight="true" outlineLevel="0" collapsed="false">
      <c r="A29" s="15" t="n">
        <v>1</v>
      </c>
      <c r="B29" s="4" t="s">
        <v>36</v>
      </c>
      <c r="C29" s="4"/>
      <c r="D29" s="4"/>
      <c r="E29" s="4"/>
      <c r="F29" s="4"/>
      <c r="G29" s="4"/>
    </row>
    <row r="30" customFormat="false" ht="18" hidden="false" customHeight="true" outlineLevel="0" collapsed="false">
      <c r="A30" s="15" t="n">
        <v>2</v>
      </c>
      <c r="B30" s="4" t="s">
        <v>37</v>
      </c>
      <c r="C30" s="4"/>
      <c r="D30" s="4"/>
      <c r="E30" s="4"/>
      <c r="F30" s="4"/>
      <c r="G30" s="4"/>
    </row>
    <row r="31" customFormat="false" ht="18" hidden="false" customHeight="true" outlineLevel="0" collapsed="false">
      <c r="A31" s="15" t="n">
        <v>3</v>
      </c>
      <c r="B31" s="4" t="s">
        <v>38</v>
      </c>
      <c r="C31" s="4"/>
      <c r="D31" s="4"/>
      <c r="E31" s="4"/>
      <c r="F31" s="4"/>
      <c r="G31" s="4"/>
    </row>
    <row r="32" customFormat="false" ht="31.5" hidden="false" customHeight="true" outlineLevel="0" collapsed="false">
      <c r="A32" s="15" t="n">
        <v>4</v>
      </c>
      <c r="B32" s="4" t="s">
        <v>39</v>
      </c>
      <c r="C32" s="4"/>
      <c r="D32" s="4"/>
      <c r="E32" s="4"/>
      <c r="F32" s="4"/>
      <c r="G32" s="4"/>
    </row>
    <row r="33" customFormat="false" ht="31.5" hidden="false" customHeight="true" outlineLevel="0" collapsed="false">
      <c r="A33" s="15" t="n">
        <v>5</v>
      </c>
      <c r="B33" s="4" t="s">
        <v>40</v>
      </c>
      <c r="C33" s="4"/>
      <c r="D33" s="4"/>
      <c r="E33" s="4"/>
      <c r="F33" s="4"/>
      <c r="G33" s="4"/>
    </row>
    <row r="35" customFormat="false" ht="15" hidden="false" customHeight="false" outlineLevel="0" collapsed="false">
      <c r="B35" s="17" t="s">
        <v>41</v>
      </c>
    </row>
    <row r="36" customFormat="false" ht="27.75" hidden="false" customHeight="true" outlineLevel="0" collapsed="false">
      <c r="B36" s="3" t="s">
        <v>42</v>
      </c>
      <c r="C36" s="4" t="s">
        <v>43</v>
      </c>
      <c r="D36" s="4"/>
      <c r="E36" s="4"/>
      <c r="F36" s="4"/>
      <c r="G36" s="4"/>
    </row>
    <row r="37" customFormat="false" ht="27.75" hidden="false" customHeight="true" outlineLevel="0" collapsed="false">
      <c r="B37" s="3" t="s">
        <v>44</v>
      </c>
      <c r="C37" s="4" t="s">
        <v>45</v>
      </c>
      <c r="D37" s="4"/>
      <c r="E37" s="4"/>
      <c r="F37" s="4"/>
      <c r="G37" s="4"/>
    </row>
    <row r="38" customFormat="false" ht="27.75" hidden="false" customHeight="true" outlineLevel="0" collapsed="false">
      <c r="B38" s="3" t="s">
        <v>46</v>
      </c>
      <c r="C38" s="4" t="s">
        <v>47</v>
      </c>
      <c r="D38" s="4"/>
      <c r="E38" s="4"/>
      <c r="F38" s="4"/>
      <c r="G38" s="4"/>
    </row>
    <row r="39" customFormat="false" ht="27.75" hidden="false" customHeight="true" outlineLevel="0" collapsed="false">
      <c r="B39" s="3" t="s">
        <v>13</v>
      </c>
      <c r="C39" s="4" t="s">
        <v>48</v>
      </c>
      <c r="D39" s="4"/>
      <c r="E39" s="4"/>
      <c r="F39" s="4"/>
      <c r="G39" s="4"/>
    </row>
    <row r="41" customFormat="false" ht="25.5" hidden="false" customHeight="true" outlineLevel="0" collapsed="false">
      <c r="B41" s="18" t="s">
        <v>49</v>
      </c>
      <c r="C41" s="18"/>
      <c r="D41" s="18"/>
      <c r="E41" s="18"/>
      <c r="F41" s="18"/>
      <c r="G41" s="18"/>
    </row>
  </sheetData>
  <mergeCells count="25">
    <mergeCell ref="A1:G1"/>
    <mergeCell ref="A2:G2"/>
    <mergeCell ref="C4:G4"/>
    <mergeCell ref="C5:G5"/>
    <mergeCell ref="C6:G6"/>
    <mergeCell ref="B17:G17"/>
    <mergeCell ref="B18:G18"/>
    <mergeCell ref="B19:G19"/>
    <mergeCell ref="B20:G20"/>
    <mergeCell ref="B21:G21"/>
    <mergeCell ref="B22:G22"/>
    <mergeCell ref="B23:G23"/>
    <mergeCell ref="B24:G24"/>
    <mergeCell ref="B25:G25"/>
    <mergeCell ref="B26:G26"/>
    <mergeCell ref="B29:G29"/>
    <mergeCell ref="B30:G30"/>
    <mergeCell ref="B31:G31"/>
    <mergeCell ref="B32:G32"/>
    <mergeCell ref="B33:G33"/>
    <mergeCell ref="C36:G36"/>
    <mergeCell ref="C37:G37"/>
    <mergeCell ref="C38:G38"/>
    <mergeCell ref="C39:G39"/>
    <mergeCell ref="B41:G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4" min="3" style="0" width="62"/>
    <col collapsed="false" customWidth="true" hidden="false" outlineLevel="0" max="5" min="5" style="0" width="10"/>
    <col collapsed="false" customWidth="true" hidden="false" outlineLevel="0" max="6" min="6" style="0" width="13"/>
    <col collapsed="false" customWidth="true" hidden="false" outlineLevel="0" max="7" min="7" style="0" width="52"/>
    <col collapsed="false" customWidth="true" hidden="false" outlineLevel="0" max="8" min="8" style="0" width="20"/>
  </cols>
  <sheetData>
    <row r="1" customFormat="false" ht="24" hidden="false" customHeight="true" outlineLevel="0" collapsed="false">
      <c r="A1" s="19" t="s">
        <v>50</v>
      </c>
      <c r="B1" s="19"/>
      <c r="C1" s="19"/>
      <c r="D1" s="19"/>
      <c r="E1" s="19"/>
      <c r="F1" s="19"/>
      <c r="G1" s="19"/>
      <c r="H1" s="19"/>
    </row>
    <row r="2" customFormat="false" ht="30" hidden="false" customHeight="true" outlineLevel="0" collapsed="false">
      <c r="A2" s="18" t="s">
        <v>51</v>
      </c>
      <c r="B2" s="18"/>
      <c r="C2" s="18"/>
      <c r="D2" s="18"/>
      <c r="E2" s="18"/>
      <c r="F2" s="18"/>
      <c r="G2" s="18"/>
      <c r="H2" s="18"/>
    </row>
    <row r="3" customFormat="false" ht="21.75" hidden="false" customHeight="true" outlineLevel="0" collapsed="false">
      <c r="A3" s="20" t="s">
        <v>52</v>
      </c>
      <c r="B3" s="20"/>
      <c r="C3" s="20"/>
      <c r="D3" s="21" t="s">
        <v>53</v>
      </c>
      <c r="E3" s="21"/>
      <c r="F3" s="22" t="s">
        <v>54</v>
      </c>
      <c r="G3" s="22"/>
      <c r="H3" s="22"/>
    </row>
    <row r="4" customFormat="false" ht="31.5" hidden="false" customHeight="true" outlineLevel="0" collapsed="false">
      <c r="A4" s="23" t="s">
        <v>55</v>
      </c>
      <c r="B4" s="23" t="s">
        <v>56</v>
      </c>
      <c r="C4" s="23" t="s">
        <v>57</v>
      </c>
      <c r="D4" s="24" t="s">
        <v>58</v>
      </c>
      <c r="E4" s="24" t="s">
        <v>59</v>
      </c>
      <c r="F4" s="6" t="s">
        <v>9</v>
      </c>
      <c r="G4" s="6" t="s">
        <v>60</v>
      </c>
      <c r="H4" s="6" t="s">
        <v>61</v>
      </c>
    </row>
    <row r="5" customFormat="false" ht="18" hidden="false" customHeight="true" outlineLevel="0" collapsed="false">
      <c r="A5" s="25" t="s">
        <v>62</v>
      </c>
      <c r="B5" s="25"/>
      <c r="C5" s="25"/>
      <c r="D5" s="25"/>
      <c r="E5" s="25"/>
      <c r="F5" s="25"/>
      <c r="G5" s="25"/>
      <c r="H5" s="25"/>
    </row>
    <row r="6" customFormat="false" ht="127.5" hidden="false" customHeight="true" outlineLevel="0" collapsed="false">
      <c r="A6" s="26" t="s">
        <v>63</v>
      </c>
      <c r="B6" s="26" t="s">
        <v>64</v>
      </c>
      <c r="C6" s="27" t="s">
        <v>65</v>
      </c>
      <c r="D6" s="28" t="s">
        <v>66</v>
      </c>
      <c r="E6" s="29" t="s">
        <v>67</v>
      </c>
      <c r="F6" s="30" t="s">
        <v>15</v>
      </c>
      <c r="G6" s="31" t="s">
        <v>68</v>
      </c>
      <c r="H6" s="31" t="s">
        <v>69</v>
      </c>
    </row>
    <row r="7" customFormat="false" ht="18" hidden="false" customHeight="true" outlineLevel="0" collapsed="false">
      <c r="A7" s="25" t="s">
        <v>70</v>
      </c>
      <c r="B7" s="25"/>
      <c r="C7" s="25"/>
      <c r="D7" s="25"/>
      <c r="E7" s="25"/>
      <c r="F7" s="25"/>
      <c r="G7" s="25"/>
      <c r="H7" s="25"/>
    </row>
    <row r="8" customFormat="false" ht="141" hidden="false" customHeight="true" outlineLevel="0" collapsed="false">
      <c r="A8" s="26" t="s">
        <v>71</v>
      </c>
      <c r="B8" s="26" t="s">
        <v>72</v>
      </c>
      <c r="C8" s="27" t="s">
        <v>73</v>
      </c>
      <c r="D8" s="29" t="s">
        <v>74</v>
      </c>
      <c r="E8" s="29" t="s">
        <v>75</v>
      </c>
      <c r="F8" s="30" t="s">
        <v>15</v>
      </c>
      <c r="G8" s="31" t="s">
        <v>76</v>
      </c>
      <c r="H8" s="31" t="s">
        <v>77</v>
      </c>
    </row>
    <row r="9" customFormat="false" ht="87" hidden="false" customHeight="true" outlineLevel="0" collapsed="false">
      <c r="A9" s="26" t="s">
        <v>71</v>
      </c>
      <c r="B9" s="26" t="s">
        <v>78</v>
      </c>
      <c r="C9" s="27" t="s">
        <v>79</v>
      </c>
      <c r="D9" s="29" t="s">
        <v>80</v>
      </c>
      <c r="E9" s="29" t="s">
        <v>81</v>
      </c>
      <c r="F9" s="30" t="s">
        <v>15</v>
      </c>
      <c r="G9" s="31" t="s">
        <v>82</v>
      </c>
      <c r="H9" s="31" t="s">
        <v>77</v>
      </c>
    </row>
    <row r="10" customFormat="false" ht="18" hidden="false" customHeight="true" outlineLevel="0" collapsed="false">
      <c r="A10" s="25" t="s">
        <v>83</v>
      </c>
      <c r="B10" s="25"/>
      <c r="C10" s="25"/>
      <c r="D10" s="25"/>
      <c r="E10" s="25"/>
      <c r="F10" s="25"/>
      <c r="G10" s="25"/>
      <c r="H10" s="25"/>
    </row>
    <row r="11" customFormat="false" ht="181.5" hidden="false" customHeight="true" outlineLevel="0" collapsed="false">
      <c r="A11" s="26" t="s">
        <v>84</v>
      </c>
      <c r="B11" s="26" t="s">
        <v>85</v>
      </c>
      <c r="C11" s="27" t="s">
        <v>86</v>
      </c>
      <c r="D11" s="29" t="s">
        <v>87</v>
      </c>
      <c r="E11" s="29" t="s">
        <v>84</v>
      </c>
      <c r="F11" s="30" t="s">
        <v>17</v>
      </c>
      <c r="G11" s="31" t="s">
        <v>88</v>
      </c>
      <c r="H11" s="31" t="s">
        <v>89</v>
      </c>
    </row>
    <row r="12" customFormat="false" ht="60" hidden="false" customHeight="true" outlineLevel="0" collapsed="false">
      <c r="A12" s="26" t="s">
        <v>90</v>
      </c>
      <c r="B12" s="26" t="s">
        <v>91</v>
      </c>
      <c r="C12" s="27" t="s">
        <v>92</v>
      </c>
      <c r="D12" s="29" t="s">
        <v>93</v>
      </c>
      <c r="E12" s="29" t="s">
        <v>90</v>
      </c>
      <c r="F12" s="30" t="s">
        <v>17</v>
      </c>
      <c r="G12" s="31" t="s">
        <v>94</v>
      </c>
      <c r="H12" s="31" t="s">
        <v>67</v>
      </c>
    </row>
    <row r="13" customFormat="false" ht="60" hidden="false" customHeight="true" outlineLevel="0" collapsed="false">
      <c r="A13" s="26" t="s">
        <v>67</v>
      </c>
      <c r="B13" s="26" t="s">
        <v>95</v>
      </c>
      <c r="C13" s="27" t="s">
        <v>96</v>
      </c>
      <c r="D13" s="29" t="s">
        <v>97</v>
      </c>
      <c r="E13" s="29" t="s">
        <v>98</v>
      </c>
      <c r="F13" s="30" t="s">
        <v>19</v>
      </c>
      <c r="G13" s="31" t="s">
        <v>99</v>
      </c>
      <c r="H13" s="31" t="s">
        <v>67</v>
      </c>
    </row>
    <row r="14" customFormat="false" ht="46.5" hidden="false" customHeight="true" outlineLevel="0" collapsed="false">
      <c r="A14" s="26" t="s">
        <v>67</v>
      </c>
      <c r="B14" s="26" t="s">
        <v>100</v>
      </c>
      <c r="C14" s="27" t="s">
        <v>101</v>
      </c>
      <c r="D14" s="29" t="s">
        <v>102</v>
      </c>
      <c r="E14" s="29" t="s">
        <v>103</v>
      </c>
      <c r="F14" s="30" t="s">
        <v>19</v>
      </c>
      <c r="G14" s="31" t="s">
        <v>104</v>
      </c>
      <c r="H14" s="31" t="s">
        <v>67</v>
      </c>
    </row>
    <row r="15" customFormat="false" ht="60" hidden="false" customHeight="true" outlineLevel="0" collapsed="false">
      <c r="A15" s="26" t="s">
        <v>105</v>
      </c>
      <c r="B15" s="26" t="s">
        <v>106</v>
      </c>
      <c r="C15" s="27" t="s">
        <v>107</v>
      </c>
      <c r="D15" s="28" t="s">
        <v>66</v>
      </c>
      <c r="E15" s="29" t="s">
        <v>67</v>
      </c>
      <c r="F15" s="30" t="s">
        <v>15</v>
      </c>
      <c r="G15" s="31" t="s">
        <v>108</v>
      </c>
      <c r="H15" s="31" t="s">
        <v>77</v>
      </c>
    </row>
    <row r="16" customFormat="false" ht="73.5" hidden="false" customHeight="true" outlineLevel="0" collapsed="false">
      <c r="A16" s="26" t="s">
        <v>109</v>
      </c>
      <c r="B16" s="26" t="s">
        <v>110</v>
      </c>
      <c r="C16" s="27" t="s">
        <v>111</v>
      </c>
      <c r="D16" s="29" t="s">
        <v>112</v>
      </c>
      <c r="E16" s="29" t="s">
        <v>109</v>
      </c>
      <c r="F16" s="30" t="s">
        <v>17</v>
      </c>
      <c r="G16" s="31" t="s">
        <v>113</v>
      </c>
      <c r="H16" s="31" t="s">
        <v>114</v>
      </c>
    </row>
    <row r="17" customFormat="false" ht="73.5" hidden="false" customHeight="true" outlineLevel="0" collapsed="false">
      <c r="A17" s="26" t="s">
        <v>109</v>
      </c>
      <c r="B17" s="26" t="s">
        <v>115</v>
      </c>
      <c r="C17" s="27" t="s">
        <v>116</v>
      </c>
      <c r="D17" s="28" t="s">
        <v>66</v>
      </c>
      <c r="E17" s="29" t="s">
        <v>67</v>
      </c>
      <c r="F17" s="30" t="s">
        <v>15</v>
      </c>
      <c r="G17" s="31" t="s">
        <v>117</v>
      </c>
      <c r="H17" s="31" t="s">
        <v>118</v>
      </c>
    </row>
    <row r="18" customFormat="false" ht="73.5" hidden="false" customHeight="true" outlineLevel="0" collapsed="false">
      <c r="A18" s="26" t="s">
        <v>109</v>
      </c>
      <c r="B18" s="26" t="s">
        <v>119</v>
      </c>
      <c r="C18" s="27" t="s">
        <v>120</v>
      </c>
      <c r="D18" s="29" t="s">
        <v>121</v>
      </c>
      <c r="E18" s="29" t="s">
        <v>122</v>
      </c>
      <c r="F18" s="30" t="s">
        <v>17</v>
      </c>
      <c r="G18" s="31" t="s">
        <v>123</v>
      </c>
      <c r="H18" s="31" t="s">
        <v>124</v>
      </c>
    </row>
    <row r="19" customFormat="false" ht="46.5" hidden="false" customHeight="true" outlineLevel="0" collapsed="false">
      <c r="A19" s="26" t="s">
        <v>125</v>
      </c>
      <c r="B19" s="26" t="s">
        <v>126</v>
      </c>
      <c r="C19" s="27" t="s">
        <v>127</v>
      </c>
      <c r="D19" s="29" t="s">
        <v>128</v>
      </c>
      <c r="E19" s="29" t="s">
        <v>129</v>
      </c>
      <c r="F19" s="30" t="s">
        <v>15</v>
      </c>
      <c r="G19" s="31" t="s">
        <v>130</v>
      </c>
      <c r="H19" s="31" t="s">
        <v>131</v>
      </c>
    </row>
    <row r="20" customFormat="false" ht="33" hidden="false" customHeight="true" outlineLevel="0" collapsed="false">
      <c r="A20" s="26" t="s">
        <v>125</v>
      </c>
      <c r="B20" s="26" t="s">
        <v>132</v>
      </c>
      <c r="C20" s="27" t="s">
        <v>133</v>
      </c>
      <c r="D20" s="28" t="s">
        <v>66</v>
      </c>
      <c r="E20" s="29" t="s">
        <v>67</v>
      </c>
      <c r="F20" s="30" t="s">
        <v>15</v>
      </c>
      <c r="G20" s="31" t="s">
        <v>134</v>
      </c>
      <c r="H20" s="31" t="s">
        <v>135</v>
      </c>
    </row>
    <row r="21" customFormat="false" ht="33" hidden="false" customHeight="true" outlineLevel="0" collapsed="false">
      <c r="A21" s="26" t="s">
        <v>125</v>
      </c>
      <c r="B21" s="26" t="s">
        <v>136</v>
      </c>
      <c r="C21" s="27" t="s">
        <v>137</v>
      </c>
      <c r="D21" s="28" t="s">
        <v>66</v>
      </c>
      <c r="E21" s="29" t="s">
        <v>67</v>
      </c>
      <c r="F21" s="30" t="s">
        <v>15</v>
      </c>
      <c r="G21" s="31" t="s">
        <v>138</v>
      </c>
      <c r="H21" s="31" t="s">
        <v>135</v>
      </c>
    </row>
    <row r="22" customFormat="false" ht="73.5" hidden="false" customHeight="true" outlineLevel="0" collapsed="false">
      <c r="A22" s="26" t="s">
        <v>125</v>
      </c>
      <c r="B22" s="26" t="s">
        <v>139</v>
      </c>
      <c r="C22" s="27" t="s">
        <v>140</v>
      </c>
      <c r="D22" s="28" t="s">
        <v>66</v>
      </c>
      <c r="E22" s="29" t="s">
        <v>67</v>
      </c>
      <c r="F22" s="30" t="s">
        <v>15</v>
      </c>
      <c r="G22" s="31" t="s">
        <v>141</v>
      </c>
      <c r="H22" s="31" t="s">
        <v>135</v>
      </c>
    </row>
    <row r="23" customFormat="false" ht="46.5" hidden="false" customHeight="true" outlineLevel="0" collapsed="false">
      <c r="A23" s="26" t="s">
        <v>125</v>
      </c>
      <c r="B23" s="26" t="s">
        <v>142</v>
      </c>
      <c r="C23" s="27" t="s">
        <v>143</v>
      </c>
      <c r="D23" s="28" t="s">
        <v>66</v>
      </c>
      <c r="E23" s="29" t="s">
        <v>67</v>
      </c>
      <c r="F23" s="30" t="s">
        <v>15</v>
      </c>
      <c r="G23" s="31" t="s">
        <v>144</v>
      </c>
      <c r="H23" s="31" t="s">
        <v>135</v>
      </c>
    </row>
    <row r="24" customFormat="false" ht="60" hidden="false" customHeight="true" outlineLevel="0" collapsed="false">
      <c r="A24" s="26" t="s">
        <v>125</v>
      </c>
      <c r="B24" s="26" t="s">
        <v>145</v>
      </c>
      <c r="C24" s="27" t="s">
        <v>146</v>
      </c>
      <c r="D24" s="28" t="s">
        <v>66</v>
      </c>
      <c r="E24" s="29" t="s">
        <v>67</v>
      </c>
      <c r="F24" s="30" t="s">
        <v>15</v>
      </c>
      <c r="G24" s="31" t="s">
        <v>147</v>
      </c>
      <c r="H24" s="31" t="s">
        <v>148</v>
      </c>
    </row>
    <row r="25" customFormat="false" ht="46.5" hidden="false" customHeight="true" outlineLevel="0" collapsed="false">
      <c r="A25" s="26" t="s">
        <v>125</v>
      </c>
      <c r="B25" s="26" t="s">
        <v>149</v>
      </c>
      <c r="C25" s="27" t="s">
        <v>150</v>
      </c>
      <c r="D25" s="28" t="s">
        <v>66</v>
      </c>
      <c r="E25" s="29" t="s">
        <v>67</v>
      </c>
      <c r="F25" s="30" t="s">
        <v>15</v>
      </c>
      <c r="G25" s="31" t="s">
        <v>151</v>
      </c>
      <c r="H25" s="31" t="s">
        <v>77</v>
      </c>
    </row>
    <row r="26" customFormat="false" ht="18" hidden="false" customHeight="true" outlineLevel="0" collapsed="false">
      <c r="A26" s="25" t="s">
        <v>152</v>
      </c>
      <c r="B26" s="25"/>
      <c r="C26" s="25"/>
      <c r="D26" s="25"/>
      <c r="E26" s="25"/>
      <c r="F26" s="25"/>
      <c r="G26" s="25"/>
      <c r="H26" s="25"/>
    </row>
    <row r="27" customFormat="false" ht="73.5" hidden="false" customHeight="true" outlineLevel="0" collapsed="false">
      <c r="A27" s="26" t="s">
        <v>153</v>
      </c>
      <c r="B27" s="26" t="s">
        <v>154</v>
      </c>
      <c r="C27" s="27" t="s">
        <v>155</v>
      </c>
      <c r="D27" s="29" t="s">
        <v>156</v>
      </c>
      <c r="E27" s="29" t="s">
        <v>153</v>
      </c>
      <c r="F27" s="30" t="s">
        <v>17</v>
      </c>
      <c r="G27" s="31" t="s">
        <v>157</v>
      </c>
      <c r="H27" s="31" t="s">
        <v>67</v>
      </c>
    </row>
    <row r="28" customFormat="false" ht="60" hidden="false" customHeight="true" outlineLevel="0" collapsed="false">
      <c r="A28" s="26" t="s">
        <v>158</v>
      </c>
      <c r="B28" s="26" t="s">
        <v>159</v>
      </c>
      <c r="C28" s="27" t="s">
        <v>160</v>
      </c>
      <c r="D28" s="29" t="s">
        <v>161</v>
      </c>
      <c r="E28" s="29" t="s">
        <v>158</v>
      </c>
      <c r="F28" s="30" t="s">
        <v>17</v>
      </c>
      <c r="G28" s="31" t="s">
        <v>162</v>
      </c>
      <c r="H28" s="31" t="s">
        <v>67</v>
      </c>
    </row>
    <row r="29" customFormat="false" ht="73.5" hidden="false" customHeight="true" outlineLevel="0" collapsed="false">
      <c r="A29" s="26" t="s">
        <v>163</v>
      </c>
      <c r="B29" s="26" t="s">
        <v>164</v>
      </c>
      <c r="C29" s="27" t="s">
        <v>165</v>
      </c>
      <c r="D29" s="29" t="s">
        <v>166</v>
      </c>
      <c r="E29" s="29" t="s">
        <v>163</v>
      </c>
      <c r="F29" s="30" t="s">
        <v>17</v>
      </c>
      <c r="G29" s="31" t="s">
        <v>167</v>
      </c>
      <c r="H29" s="31" t="s">
        <v>67</v>
      </c>
    </row>
    <row r="30" customFormat="false" ht="33" hidden="false" customHeight="true" outlineLevel="0" collapsed="false">
      <c r="A30" s="26" t="s">
        <v>168</v>
      </c>
      <c r="B30" s="26" t="s">
        <v>169</v>
      </c>
      <c r="C30" s="27" t="s">
        <v>170</v>
      </c>
      <c r="D30" s="28" t="s">
        <v>66</v>
      </c>
      <c r="E30" s="29" t="s">
        <v>67</v>
      </c>
      <c r="F30" s="30" t="s">
        <v>15</v>
      </c>
      <c r="G30" s="31" t="s">
        <v>171</v>
      </c>
      <c r="H30" s="31" t="s">
        <v>172</v>
      </c>
    </row>
    <row r="31" customFormat="false" ht="46.5" hidden="false" customHeight="true" outlineLevel="0" collapsed="false">
      <c r="A31" s="26" t="s">
        <v>168</v>
      </c>
      <c r="B31" s="26" t="s">
        <v>173</v>
      </c>
      <c r="C31" s="27" t="s">
        <v>174</v>
      </c>
      <c r="D31" s="29" t="s">
        <v>175</v>
      </c>
      <c r="E31" s="29" t="s">
        <v>176</v>
      </c>
      <c r="F31" s="30" t="s">
        <v>15</v>
      </c>
      <c r="G31" s="31" t="s">
        <v>177</v>
      </c>
      <c r="H31" s="31" t="s">
        <v>178</v>
      </c>
    </row>
    <row r="32" customFormat="false" ht="46.5" hidden="false" customHeight="true" outlineLevel="0" collapsed="false">
      <c r="A32" s="26" t="s">
        <v>168</v>
      </c>
      <c r="B32" s="26" t="s">
        <v>179</v>
      </c>
      <c r="C32" s="27" t="s">
        <v>180</v>
      </c>
      <c r="D32" s="29" t="s">
        <v>181</v>
      </c>
      <c r="E32" s="29" t="s">
        <v>182</v>
      </c>
      <c r="F32" s="30" t="s">
        <v>17</v>
      </c>
      <c r="G32" s="31" t="s">
        <v>183</v>
      </c>
      <c r="H32" s="31" t="s">
        <v>178</v>
      </c>
    </row>
    <row r="33" customFormat="false" ht="46.5" hidden="false" customHeight="true" outlineLevel="0" collapsed="false">
      <c r="A33" s="26" t="s">
        <v>168</v>
      </c>
      <c r="B33" s="26" t="s">
        <v>184</v>
      </c>
      <c r="C33" s="27" t="s">
        <v>185</v>
      </c>
      <c r="D33" s="28" t="s">
        <v>66</v>
      </c>
      <c r="E33" s="29" t="s">
        <v>67</v>
      </c>
      <c r="F33" s="30" t="s">
        <v>15</v>
      </c>
      <c r="G33" s="31" t="s">
        <v>186</v>
      </c>
      <c r="H33" s="31" t="s">
        <v>178</v>
      </c>
    </row>
    <row r="34" customFormat="false" ht="33" hidden="false" customHeight="true" outlineLevel="0" collapsed="false">
      <c r="A34" s="26" t="s">
        <v>168</v>
      </c>
      <c r="B34" s="26" t="s">
        <v>187</v>
      </c>
      <c r="C34" s="27" t="s">
        <v>188</v>
      </c>
      <c r="D34" s="29" t="s">
        <v>189</v>
      </c>
      <c r="E34" s="29" t="s">
        <v>182</v>
      </c>
      <c r="F34" s="30" t="s">
        <v>17</v>
      </c>
      <c r="G34" s="31" t="s">
        <v>190</v>
      </c>
      <c r="H34" s="31" t="s">
        <v>178</v>
      </c>
    </row>
    <row r="35" customFormat="false" ht="46.5" hidden="false" customHeight="true" outlineLevel="0" collapsed="false">
      <c r="A35" s="26" t="s">
        <v>168</v>
      </c>
      <c r="B35" s="26" t="s">
        <v>191</v>
      </c>
      <c r="C35" s="27" t="s">
        <v>192</v>
      </c>
      <c r="D35" s="28" t="s">
        <v>66</v>
      </c>
      <c r="E35" s="29" t="s">
        <v>67</v>
      </c>
      <c r="F35" s="30" t="s">
        <v>15</v>
      </c>
      <c r="G35" s="31" t="s">
        <v>193</v>
      </c>
      <c r="H35" s="31" t="s">
        <v>178</v>
      </c>
    </row>
    <row r="36" customFormat="false" ht="33" hidden="false" customHeight="true" outlineLevel="0" collapsed="false">
      <c r="A36" s="26" t="s">
        <v>168</v>
      </c>
      <c r="B36" s="26" t="s">
        <v>194</v>
      </c>
      <c r="C36" s="27" t="s">
        <v>195</v>
      </c>
      <c r="D36" s="29" t="s">
        <v>196</v>
      </c>
      <c r="E36" s="29" t="s">
        <v>163</v>
      </c>
      <c r="F36" s="30" t="s">
        <v>17</v>
      </c>
      <c r="G36" s="31" t="s">
        <v>197</v>
      </c>
      <c r="H36" s="31" t="s">
        <v>178</v>
      </c>
    </row>
    <row r="37" customFormat="false" ht="33" hidden="false" customHeight="true" outlineLevel="0" collapsed="false">
      <c r="A37" s="26" t="s">
        <v>168</v>
      </c>
      <c r="B37" s="26" t="s">
        <v>198</v>
      </c>
      <c r="C37" s="27" t="s">
        <v>199</v>
      </c>
      <c r="D37" s="28" t="s">
        <v>66</v>
      </c>
      <c r="E37" s="29" t="s">
        <v>67</v>
      </c>
      <c r="F37" s="30" t="s">
        <v>15</v>
      </c>
      <c r="G37" s="31" t="s">
        <v>200</v>
      </c>
      <c r="H37" s="31" t="s">
        <v>201</v>
      </c>
    </row>
    <row r="38" customFormat="false" ht="73.5" hidden="false" customHeight="true" outlineLevel="0" collapsed="false">
      <c r="A38" s="26" t="s">
        <v>202</v>
      </c>
      <c r="B38" s="26" t="s">
        <v>203</v>
      </c>
      <c r="C38" s="27" t="s">
        <v>204</v>
      </c>
      <c r="D38" s="29" t="s">
        <v>205</v>
      </c>
      <c r="E38" s="29" t="s">
        <v>182</v>
      </c>
      <c r="F38" s="30" t="s">
        <v>15</v>
      </c>
      <c r="G38" s="31" t="s">
        <v>206</v>
      </c>
      <c r="H38" s="31" t="s">
        <v>207</v>
      </c>
    </row>
    <row r="39" customFormat="false" ht="46.5" hidden="false" customHeight="true" outlineLevel="0" collapsed="false">
      <c r="A39" s="26" t="s">
        <v>208</v>
      </c>
      <c r="B39" s="26" t="s">
        <v>209</v>
      </c>
      <c r="C39" s="27" t="s">
        <v>210</v>
      </c>
      <c r="D39" s="28" t="s">
        <v>66</v>
      </c>
      <c r="E39" s="29" t="s">
        <v>67</v>
      </c>
      <c r="F39" s="30" t="s">
        <v>15</v>
      </c>
      <c r="G39" s="31" t="s">
        <v>211</v>
      </c>
      <c r="H39" s="31" t="s">
        <v>77</v>
      </c>
    </row>
    <row r="40" customFormat="false" ht="60" hidden="false" customHeight="true" outlineLevel="0" collapsed="false">
      <c r="A40" s="26" t="s">
        <v>208</v>
      </c>
      <c r="B40" s="26" t="s">
        <v>212</v>
      </c>
      <c r="C40" s="27" t="s">
        <v>213</v>
      </c>
      <c r="D40" s="28" t="s">
        <v>66</v>
      </c>
      <c r="E40" s="29" t="s">
        <v>67</v>
      </c>
      <c r="F40" s="30" t="s">
        <v>15</v>
      </c>
      <c r="G40" s="31" t="s">
        <v>214</v>
      </c>
      <c r="H40" s="31" t="s">
        <v>77</v>
      </c>
    </row>
    <row r="41" customFormat="false" ht="18" hidden="false" customHeight="true" outlineLevel="0" collapsed="false">
      <c r="A41" s="25" t="s">
        <v>215</v>
      </c>
      <c r="B41" s="25"/>
      <c r="C41" s="25"/>
      <c r="D41" s="25"/>
      <c r="E41" s="25"/>
      <c r="F41" s="25"/>
      <c r="G41" s="25"/>
      <c r="H41" s="25"/>
    </row>
    <row r="42" customFormat="false" ht="60" hidden="false" customHeight="true" outlineLevel="0" collapsed="false">
      <c r="A42" s="26" t="s">
        <v>216</v>
      </c>
      <c r="B42" s="26" t="s">
        <v>217</v>
      </c>
      <c r="C42" s="27" t="s">
        <v>218</v>
      </c>
      <c r="D42" s="29" t="s">
        <v>219</v>
      </c>
      <c r="E42" s="29" t="s">
        <v>216</v>
      </c>
      <c r="F42" s="30" t="s">
        <v>17</v>
      </c>
      <c r="G42" s="31" t="s">
        <v>220</v>
      </c>
      <c r="H42" s="31" t="s">
        <v>221</v>
      </c>
    </row>
    <row r="43" customFormat="false" ht="73.5" hidden="false" customHeight="true" outlineLevel="0" collapsed="false">
      <c r="A43" s="26" t="s">
        <v>182</v>
      </c>
      <c r="B43" s="26" t="s">
        <v>222</v>
      </c>
      <c r="C43" s="27" t="s">
        <v>223</v>
      </c>
      <c r="D43" s="29" t="s">
        <v>224</v>
      </c>
      <c r="E43" s="29" t="s">
        <v>182</v>
      </c>
      <c r="F43" s="30" t="s">
        <v>17</v>
      </c>
      <c r="G43" s="31" t="s">
        <v>225</v>
      </c>
      <c r="H43" s="31" t="s">
        <v>67</v>
      </c>
    </row>
    <row r="44" customFormat="false" ht="18" hidden="false" customHeight="true" outlineLevel="0" collapsed="false">
      <c r="A44" s="25" t="s">
        <v>226</v>
      </c>
      <c r="B44" s="25"/>
      <c r="C44" s="25"/>
      <c r="D44" s="25"/>
      <c r="E44" s="25"/>
      <c r="F44" s="25"/>
      <c r="G44" s="25"/>
      <c r="H44" s="25"/>
    </row>
    <row r="45" customFormat="false" ht="87" hidden="false" customHeight="true" outlineLevel="0" collapsed="false">
      <c r="A45" s="26" t="s">
        <v>129</v>
      </c>
      <c r="B45" s="26" t="s">
        <v>227</v>
      </c>
      <c r="C45" s="27" t="s">
        <v>228</v>
      </c>
      <c r="D45" s="29" t="s">
        <v>229</v>
      </c>
      <c r="E45" s="29" t="s">
        <v>129</v>
      </c>
      <c r="F45" s="30" t="s">
        <v>17</v>
      </c>
      <c r="G45" s="31" t="s">
        <v>230</v>
      </c>
      <c r="H45" s="31" t="s">
        <v>114</v>
      </c>
    </row>
    <row r="46" customFormat="false" ht="60" hidden="false" customHeight="true" outlineLevel="0" collapsed="false">
      <c r="A46" s="26" t="s">
        <v>231</v>
      </c>
      <c r="B46" s="26" t="s">
        <v>232</v>
      </c>
      <c r="C46" s="27" t="s">
        <v>233</v>
      </c>
      <c r="D46" s="29" t="s">
        <v>234</v>
      </c>
      <c r="E46" s="29" t="s">
        <v>231</v>
      </c>
      <c r="F46" s="30" t="s">
        <v>17</v>
      </c>
      <c r="G46" s="31" t="s">
        <v>235</v>
      </c>
      <c r="H46" s="31" t="s">
        <v>67</v>
      </c>
    </row>
    <row r="47" customFormat="false" ht="60" hidden="false" customHeight="true" outlineLevel="0" collapsed="false">
      <c r="A47" s="26" t="s">
        <v>236</v>
      </c>
      <c r="B47" s="26" t="s">
        <v>237</v>
      </c>
      <c r="C47" s="27" t="s">
        <v>238</v>
      </c>
      <c r="D47" s="29" t="s">
        <v>239</v>
      </c>
      <c r="E47" s="29" t="s">
        <v>236</v>
      </c>
      <c r="F47" s="30" t="s">
        <v>17</v>
      </c>
      <c r="G47" s="31" t="s">
        <v>240</v>
      </c>
      <c r="H47" s="31" t="s">
        <v>67</v>
      </c>
    </row>
  </sheetData>
  <autoFilter ref="A4:H47"/>
  <mergeCells count="11">
    <mergeCell ref="A1:H1"/>
    <mergeCell ref="A2:H2"/>
    <mergeCell ref="A3:C3"/>
    <mergeCell ref="D3:E3"/>
    <mergeCell ref="F3:H3"/>
    <mergeCell ref="A5:H5"/>
    <mergeCell ref="A7:H7"/>
    <mergeCell ref="A10:H10"/>
    <mergeCell ref="A26:H26"/>
    <mergeCell ref="A41:H41"/>
    <mergeCell ref="A44:H44"/>
  </mergeCells>
  <conditionalFormatting sqref="F5:F47">
    <cfRule type="expression" priority="2" aboveAverage="0" equalAverage="0" bottom="0" percent="0" rank="0" text="" dxfId="14">
      <formula>ISNUMBER(SEARCH("New",$F5))</formula>
    </cfRule>
    <cfRule type="expression" priority="3" aboveAverage="0" equalAverage="0" bottom="0" percent="0" rank="0" text="" dxfId="15">
      <formula>ISNUMBER(SEARCH("Modified",$F5))</formula>
    </cfRule>
    <cfRule type="expression" priority="4" aboveAverage="0" equalAverage="0" bottom="0" percent="0" rank="0" text="" dxfId="16">
      <formula>ISNUMBER(SEARCH("Removed",$F5))</formula>
    </cfRule>
    <cfRule type="expression" priority="5" aboveAverage="0" equalAverage="0" bottom="0" percent="0" rank="0" text="" dxfId="17">
      <formula>ISNUMBER(SEARCH("Unchanged",$F5))</formula>
    </cfRule>
    <cfRule type="expression" priority="6" aboveAverage="0" equalAverage="0" bottom="0" percent="0" rank="0" text="" dxfId="18">
      <formula>ISNUMBER(SEARCH("Renumbered",$F5))</formula>
    </cfRule>
  </conditionalFormatting>
  <dataValidations count="1">
    <dataValidation allowBlank="true" errorStyle="stop" operator="between" showDropDown="false" showErrorMessage="false" showInputMessage="false" sqref="F5:F47" type="list">
      <formula1>"New,Modified,Removed"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17"/>
    <col collapsed="false" customWidth="true" hidden="false" outlineLevel="0" max="6" min="5" style="0" width="11"/>
    <col collapsed="false" customWidth="true" hidden="false" outlineLevel="0" max="7" min="7" style="0" width="3"/>
    <col collapsed="false" customWidth="true" hidden="false" outlineLevel="0" max="8" min="8" style="0" width="13"/>
    <col collapsed="false" customWidth="true" hidden="false" outlineLevel="0" max="9" min="9" style="0" width="10"/>
    <col collapsed="false" customWidth="true" hidden="false" outlineLevel="0" max="11" min="10" style="0" width="11"/>
    <col collapsed="false" customWidth="true" hidden="false" outlineLevel="0" max="12" min="12" style="0" width="10"/>
    <col collapsed="false" customWidth="true" hidden="false" outlineLevel="0" max="13" min="13" style="0" width="13"/>
    <col collapsed="false" customWidth="true" hidden="false" outlineLevel="0" max="14" min="14" style="0" width="14"/>
    <col collapsed="false" customWidth="true" hidden="false" outlineLevel="0" max="15" min="15" style="0" width="46"/>
  </cols>
  <sheetData>
    <row r="1" customFormat="false" ht="24" hidden="false" customHeight="true" outlineLevel="0" collapsed="false">
      <c r="A1" s="19" t="s">
        <v>241</v>
      </c>
      <c r="B1" s="19"/>
      <c r="C1" s="19"/>
      <c r="D1" s="19"/>
      <c r="E1" s="19"/>
      <c r="F1" s="19"/>
      <c r="G1" s="19"/>
      <c r="H1" s="19"/>
      <c r="I1" s="19"/>
      <c r="J1" s="19"/>
      <c r="K1" s="19"/>
      <c r="L1" s="19"/>
      <c r="M1" s="19"/>
      <c r="N1" s="19"/>
      <c r="O1" s="19"/>
    </row>
    <row r="2" customFormat="false" ht="30" hidden="false" customHeight="true" outlineLevel="0" collapsed="false">
      <c r="A2" s="18" t="s">
        <v>242</v>
      </c>
      <c r="B2" s="18"/>
      <c r="C2" s="18"/>
      <c r="D2" s="18"/>
      <c r="E2" s="18"/>
      <c r="F2" s="18"/>
      <c r="G2" s="18"/>
      <c r="H2" s="18"/>
      <c r="I2" s="18"/>
      <c r="J2" s="18"/>
      <c r="K2" s="18"/>
      <c r="L2" s="18"/>
      <c r="M2" s="18"/>
      <c r="N2" s="18"/>
      <c r="O2" s="18"/>
    </row>
    <row r="3" customFormat="false" ht="15" hidden="false" customHeight="true" outlineLevel="0" collapsed="false">
      <c r="A3" s="20" t="s">
        <v>243</v>
      </c>
      <c r="B3" s="20"/>
      <c r="C3" s="20"/>
      <c r="D3" s="20"/>
      <c r="E3" s="20"/>
      <c r="F3" s="20"/>
      <c r="H3" s="21" t="s">
        <v>244</v>
      </c>
      <c r="I3" s="21"/>
      <c r="J3" s="21"/>
      <c r="K3" s="21"/>
      <c r="L3" s="21"/>
      <c r="M3" s="21"/>
      <c r="N3" s="22" t="s">
        <v>54</v>
      </c>
      <c r="O3" s="22"/>
    </row>
    <row r="4" customFormat="false" ht="31.5" hidden="false" customHeight="true" outlineLevel="0" collapsed="false">
      <c r="A4" s="23" t="s">
        <v>245</v>
      </c>
      <c r="B4" s="23" t="s">
        <v>246</v>
      </c>
      <c r="C4" s="23" t="s">
        <v>247</v>
      </c>
      <c r="D4" s="23" t="s">
        <v>248</v>
      </c>
      <c r="E4" s="23" t="s">
        <v>249</v>
      </c>
      <c r="F4" s="23" t="s">
        <v>250</v>
      </c>
      <c r="G4" s="32"/>
      <c r="H4" s="24" t="s">
        <v>251</v>
      </c>
      <c r="I4" s="24" t="s">
        <v>246</v>
      </c>
      <c r="J4" s="24" t="s">
        <v>247</v>
      </c>
      <c r="K4" s="24" t="s">
        <v>252</v>
      </c>
      <c r="L4" s="24" t="s">
        <v>249</v>
      </c>
      <c r="M4" s="24" t="s">
        <v>250</v>
      </c>
      <c r="N4" s="6" t="s">
        <v>9</v>
      </c>
      <c r="O4" s="6" t="s">
        <v>253</v>
      </c>
    </row>
    <row r="5" customFormat="false" ht="19.5" hidden="false" customHeight="true" outlineLevel="0" collapsed="false">
      <c r="A5" s="33" t="s">
        <v>254</v>
      </c>
      <c r="B5" s="33" t="s">
        <v>255</v>
      </c>
      <c r="C5" s="33" t="s">
        <v>256</v>
      </c>
      <c r="D5" s="33" t="s">
        <v>257</v>
      </c>
      <c r="E5" s="33" t="s">
        <v>258</v>
      </c>
      <c r="F5" s="33" t="s">
        <v>259</v>
      </c>
      <c r="G5" s="34"/>
      <c r="H5" s="35" t="s">
        <v>260</v>
      </c>
      <c r="I5" s="36"/>
      <c r="J5" s="36"/>
      <c r="K5" s="36"/>
      <c r="L5" s="36"/>
      <c r="M5" s="36"/>
      <c r="N5" s="37" t="s">
        <v>15</v>
      </c>
      <c r="O5" s="31" t="s">
        <v>261</v>
      </c>
    </row>
    <row r="6" customFormat="false" ht="19.5" hidden="false" customHeight="true" outlineLevel="0" collapsed="false">
      <c r="A6" s="33" t="s">
        <v>262</v>
      </c>
      <c r="B6" s="33" t="s">
        <v>263</v>
      </c>
      <c r="C6" s="33" t="s">
        <v>256</v>
      </c>
      <c r="D6" s="33" t="s">
        <v>257</v>
      </c>
      <c r="E6" s="33" t="s">
        <v>264</v>
      </c>
      <c r="F6" s="33" t="s">
        <v>265</v>
      </c>
      <c r="G6" s="34"/>
      <c r="H6" s="35" t="s">
        <v>260</v>
      </c>
      <c r="I6" s="36"/>
      <c r="J6" s="36"/>
      <c r="K6" s="36"/>
      <c r="L6" s="36"/>
      <c r="M6" s="36"/>
      <c r="N6" s="37" t="s">
        <v>15</v>
      </c>
      <c r="O6" s="31" t="s">
        <v>266</v>
      </c>
    </row>
    <row r="7" customFormat="false" ht="19.5" hidden="false" customHeight="true" outlineLevel="0" collapsed="false">
      <c r="A7" s="33" t="s">
        <v>267</v>
      </c>
      <c r="B7" s="33" t="s">
        <v>268</v>
      </c>
      <c r="C7" s="33" t="s">
        <v>256</v>
      </c>
      <c r="D7" s="33" t="s">
        <v>257</v>
      </c>
      <c r="E7" s="33" t="s">
        <v>269</v>
      </c>
      <c r="F7" s="33" t="s">
        <v>270</v>
      </c>
      <c r="G7" s="34"/>
      <c r="H7" s="35" t="s">
        <v>260</v>
      </c>
      <c r="I7" s="36"/>
      <c r="J7" s="36"/>
      <c r="K7" s="36"/>
      <c r="L7" s="36"/>
      <c r="M7" s="36"/>
      <c r="N7" s="37" t="s">
        <v>15</v>
      </c>
      <c r="O7" s="31" t="s">
        <v>271</v>
      </c>
    </row>
    <row r="8" customFormat="false" ht="33" hidden="false" customHeight="true" outlineLevel="0" collapsed="false">
      <c r="A8" s="33" t="s">
        <v>272</v>
      </c>
      <c r="B8" s="33" t="s">
        <v>273</v>
      </c>
      <c r="C8" s="33" t="s">
        <v>256</v>
      </c>
      <c r="D8" s="33" t="s">
        <v>257</v>
      </c>
      <c r="E8" s="33" t="s">
        <v>274</v>
      </c>
      <c r="F8" s="33" t="s">
        <v>275</v>
      </c>
      <c r="G8" s="34"/>
      <c r="H8" s="36" t="s">
        <v>276</v>
      </c>
      <c r="I8" s="36" t="s">
        <v>273</v>
      </c>
      <c r="J8" s="36" t="s">
        <v>277</v>
      </c>
      <c r="K8" s="36" t="s">
        <v>278</v>
      </c>
      <c r="L8" s="36" t="s">
        <v>279</v>
      </c>
      <c r="M8" s="36" t="s">
        <v>275</v>
      </c>
      <c r="N8" s="37" t="s">
        <v>17</v>
      </c>
      <c r="O8" s="31" t="s">
        <v>280</v>
      </c>
    </row>
    <row r="10" customFormat="false" ht="15" hidden="false" customHeight="true" outlineLevel="0" collapsed="false">
      <c r="A10" s="38" t="s">
        <v>281</v>
      </c>
      <c r="B10" s="38"/>
      <c r="C10" s="38"/>
      <c r="D10" s="38"/>
      <c r="E10" s="38"/>
      <c r="F10" s="38"/>
      <c r="G10" s="38"/>
      <c r="H10" s="38"/>
      <c r="I10" s="38"/>
      <c r="J10" s="38"/>
      <c r="K10" s="38"/>
      <c r="L10" s="38"/>
      <c r="M10" s="38"/>
      <c r="N10" s="38"/>
      <c r="O10" s="38"/>
    </row>
    <row r="11" customFormat="false" ht="25.5" hidden="false" customHeight="true" outlineLevel="0" collapsed="false">
      <c r="A11" s="39" t="s">
        <v>282</v>
      </c>
      <c r="B11" s="39"/>
      <c r="C11" s="39"/>
      <c r="D11" s="39"/>
      <c r="E11" s="39"/>
      <c r="F11" s="39"/>
      <c r="G11" s="39"/>
      <c r="H11" s="39"/>
      <c r="I11" s="39"/>
      <c r="J11" s="39"/>
      <c r="K11" s="39"/>
      <c r="L11" s="39"/>
      <c r="M11" s="39"/>
      <c r="N11" s="39"/>
      <c r="O11" s="39"/>
    </row>
    <row r="12" customFormat="false" ht="25.5" hidden="false" customHeight="true" outlineLevel="0" collapsed="false">
      <c r="A12" s="39" t="s">
        <v>283</v>
      </c>
      <c r="B12" s="39"/>
      <c r="C12" s="39"/>
      <c r="D12" s="39"/>
      <c r="E12" s="39"/>
      <c r="F12" s="39"/>
      <c r="G12" s="39"/>
      <c r="H12" s="39"/>
      <c r="I12" s="39"/>
      <c r="J12" s="39"/>
      <c r="K12" s="39"/>
      <c r="L12" s="39"/>
      <c r="M12" s="39"/>
      <c r="N12" s="39"/>
      <c r="O12" s="39"/>
    </row>
    <row r="13" customFormat="false" ht="25.5" hidden="false" customHeight="true" outlineLevel="0" collapsed="false">
      <c r="A13" s="39" t="s">
        <v>284</v>
      </c>
      <c r="B13" s="39"/>
      <c r="C13" s="39"/>
      <c r="D13" s="39"/>
      <c r="E13" s="39"/>
      <c r="F13" s="39"/>
      <c r="G13" s="39"/>
      <c r="H13" s="39"/>
      <c r="I13" s="39"/>
      <c r="J13" s="39"/>
      <c r="K13" s="39"/>
      <c r="L13" s="39"/>
      <c r="M13" s="39"/>
      <c r="N13" s="39"/>
      <c r="O13" s="39"/>
    </row>
    <row r="14" customFormat="false" ht="25.5" hidden="false" customHeight="true" outlineLevel="0" collapsed="false">
      <c r="A14" s="39" t="s">
        <v>285</v>
      </c>
      <c r="B14" s="39"/>
      <c r="C14" s="39"/>
      <c r="D14" s="39"/>
      <c r="E14" s="39"/>
      <c r="F14" s="39"/>
      <c r="G14" s="39"/>
      <c r="H14" s="39"/>
      <c r="I14" s="39"/>
      <c r="J14" s="39"/>
      <c r="K14" s="39"/>
      <c r="L14" s="39"/>
      <c r="M14" s="39"/>
      <c r="N14" s="39"/>
      <c r="O14" s="39"/>
    </row>
  </sheetData>
  <mergeCells count="10">
    <mergeCell ref="A1:O1"/>
    <mergeCell ref="A2:O2"/>
    <mergeCell ref="A3:F3"/>
    <mergeCell ref="H3:M3"/>
    <mergeCell ref="N3:O3"/>
    <mergeCell ref="A10:O10"/>
    <mergeCell ref="A11:O11"/>
    <mergeCell ref="A12:O12"/>
    <mergeCell ref="A13:O13"/>
    <mergeCell ref="A14:O14"/>
  </mergeCells>
  <conditionalFormatting sqref="N5:N8">
    <cfRule type="expression" priority="2" aboveAverage="0" equalAverage="0" bottom="0" percent="0" rank="0" text="" dxfId="14">
      <formula>ISNUMBER(SEARCH("New",$N5))</formula>
    </cfRule>
    <cfRule type="expression" priority="3" aboveAverage="0" equalAverage="0" bottom="0" percent="0" rank="0" text="" dxfId="15">
      <formula>ISNUMBER(SEARCH("Modified",$N5))</formula>
    </cfRule>
    <cfRule type="expression" priority="4" aboveAverage="0" equalAverage="0" bottom="0" percent="0" rank="0" text="" dxfId="16">
      <formula>ISNUMBER(SEARCH("Removed",$N5))</formula>
    </cfRule>
    <cfRule type="expression" priority="5" aboveAverage="0" equalAverage="0" bottom="0" percent="0" rank="0" text="" dxfId="17">
      <formula>ISNUMBER(SEARCH("Unchanged",$N5))</formula>
    </cfRule>
    <cfRule type="expression" priority="6" aboveAverage="0" equalAverage="0" bottom="0" percent="0" rank="0" text="" dxfId="18">
      <formula>ISNUMBER(SEARCH("Renumbered",$N5))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24"/>
    <col collapsed="false" customWidth="true" hidden="false" outlineLevel="0" max="4" min="4" style="0" width="11"/>
    <col collapsed="false" customWidth="true" hidden="false" outlineLevel="0" max="5" min="5" style="0" width="3"/>
    <col collapsed="false" customWidth="true" hidden="false" outlineLevel="0" max="6" min="6" style="0" width="30"/>
    <col collapsed="false" customWidth="true" hidden="false" outlineLevel="0" max="7" min="7" style="0" width="13"/>
    <col collapsed="false" customWidth="true" hidden="false" outlineLevel="0" max="8" min="8" style="0" width="46"/>
  </cols>
  <sheetData>
    <row r="1" customFormat="false" ht="24" hidden="false" customHeight="true" outlineLevel="0" collapsed="false">
      <c r="A1" s="19" t="s">
        <v>286</v>
      </c>
      <c r="B1" s="19"/>
      <c r="C1" s="19"/>
      <c r="D1" s="19"/>
      <c r="E1" s="19"/>
      <c r="F1" s="19"/>
      <c r="G1" s="19"/>
      <c r="H1" s="19"/>
    </row>
    <row r="2" customFormat="false" ht="30" hidden="false" customHeight="true" outlineLevel="0" collapsed="false">
      <c r="A2" s="18" t="s">
        <v>287</v>
      </c>
      <c r="B2" s="18"/>
      <c r="C2" s="18"/>
      <c r="D2" s="18"/>
      <c r="E2" s="18"/>
      <c r="F2" s="18"/>
      <c r="G2" s="18"/>
      <c r="H2" s="18"/>
    </row>
    <row r="3" customFormat="false" ht="15" hidden="false" customHeight="true" outlineLevel="0" collapsed="false">
      <c r="A3" s="20" t="s">
        <v>288</v>
      </c>
      <c r="B3" s="20"/>
      <c r="C3" s="20"/>
      <c r="D3" s="20"/>
      <c r="F3" s="21" t="s">
        <v>289</v>
      </c>
      <c r="G3" s="22" t="s">
        <v>54</v>
      </c>
      <c r="H3" s="22"/>
    </row>
    <row r="4" customFormat="false" ht="31.5" hidden="false" customHeight="true" outlineLevel="0" collapsed="false">
      <c r="A4" s="23" t="s">
        <v>290</v>
      </c>
      <c r="B4" s="23" t="s">
        <v>291</v>
      </c>
      <c r="C4" s="23" t="s">
        <v>292</v>
      </c>
      <c r="D4" s="23" t="s">
        <v>293</v>
      </c>
      <c r="E4" s="32"/>
      <c r="F4" s="24" t="s">
        <v>294</v>
      </c>
      <c r="G4" s="6" t="s">
        <v>9</v>
      </c>
      <c r="H4" s="6" t="s">
        <v>253</v>
      </c>
    </row>
    <row r="5" customFormat="false" ht="46.5" hidden="false" customHeight="true" outlineLevel="0" collapsed="false">
      <c r="A5" s="26" t="s">
        <v>295</v>
      </c>
      <c r="B5" s="27" t="s">
        <v>296</v>
      </c>
      <c r="C5" s="27" t="s">
        <v>297</v>
      </c>
      <c r="D5" s="27" t="s">
        <v>298</v>
      </c>
      <c r="E5" s="40"/>
      <c r="F5" s="29" t="s">
        <v>299</v>
      </c>
      <c r="G5" s="37" t="s">
        <v>17</v>
      </c>
      <c r="H5" s="31" t="s">
        <v>300</v>
      </c>
    </row>
    <row r="6" customFormat="false" ht="46.5" hidden="false" customHeight="true" outlineLevel="0" collapsed="false">
      <c r="A6" s="26" t="s">
        <v>301</v>
      </c>
      <c r="B6" s="27" t="s">
        <v>302</v>
      </c>
      <c r="C6" s="27" t="s">
        <v>303</v>
      </c>
      <c r="D6" s="27" t="s">
        <v>304</v>
      </c>
      <c r="E6" s="40"/>
      <c r="F6" s="29" t="s">
        <v>305</v>
      </c>
      <c r="G6" s="37" t="s">
        <v>17</v>
      </c>
      <c r="H6" s="31" t="s">
        <v>306</v>
      </c>
    </row>
    <row r="7" customFormat="false" ht="33" hidden="false" customHeight="true" outlineLevel="0" collapsed="false">
      <c r="A7" s="26" t="s">
        <v>307</v>
      </c>
      <c r="B7" s="27" t="s">
        <v>302</v>
      </c>
      <c r="C7" s="27" t="s">
        <v>308</v>
      </c>
      <c r="D7" s="27" t="s">
        <v>309</v>
      </c>
      <c r="E7" s="40"/>
      <c r="F7" s="29" t="s">
        <v>310</v>
      </c>
      <c r="G7" s="37" t="s">
        <v>15</v>
      </c>
      <c r="H7" s="31" t="s">
        <v>311</v>
      </c>
    </row>
    <row r="8" customFormat="false" ht="33" hidden="false" customHeight="true" outlineLevel="0" collapsed="false">
      <c r="A8" s="26" t="s">
        <v>312</v>
      </c>
      <c r="B8" s="27" t="s">
        <v>296</v>
      </c>
      <c r="C8" s="27" t="s">
        <v>313</v>
      </c>
      <c r="D8" s="27" t="s">
        <v>314</v>
      </c>
      <c r="E8" s="40"/>
      <c r="F8" s="29" t="s">
        <v>310</v>
      </c>
      <c r="G8" s="37" t="s">
        <v>15</v>
      </c>
      <c r="H8" s="31" t="s">
        <v>315</v>
      </c>
    </row>
    <row r="9" customFormat="false" ht="46.5" hidden="false" customHeight="true" outlineLevel="0" collapsed="false">
      <c r="A9" s="26" t="s">
        <v>316</v>
      </c>
      <c r="B9" s="27" t="s">
        <v>302</v>
      </c>
      <c r="C9" s="27" t="s">
        <v>302</v>
      </c>
      <c r="D9" s="27" t="s">
        <v>309</v>
      </c>
      <c r="E9" s="40"/>
      <c r="F9" s="29" t="s">
        <v>317</v>
      </c>
      <c r="G9" s="37" t="s">
        <v>17</v>
      </c>
      <c r="H9" s="31" t="s">
        <v>318</v>
      </c>
    </row>
    <row r="10" customFormat="false" ht="33" hidden="false" customHeight="true" outlineLevel="0" collapsed="false">
      <c r="A10" s="26" t="s">
        <v>319</v>
      </c>
      <c r="B10" s="27" t="s">
        <v>320</v>
      </c>
      <c r="C10" s="27" t="s">
        <v>321</v>
      </c>
      <c r="D10" s="27" t="s">
        <v>322</v>
      </c>
      <c r="E10" s="40"/>
      <c r="F10" s="29" t="s">
        <v>310</v>
      </c>
      <c r="G10" s="37" t="s">
        <v>15</v>
      </c>
      <c r="H10" s="31" t="s">
        <v>323</v>
      </c>
    </row>
    <row r="11" customFormat="false" ht="33" hidden="false" customHeight="true" outlineLevel="0" collapsed="false">
      <c r="A11" s="26" t="s">
        <v>324</v>
      </c>
      <c r="B11" s="27" t="s">
        <v>302</v>
      </c>
      <c r="C11" s="27" t="s">
        <v>302</v>
      </c>
      <c r="D11" s="27" t="s">
        <v>325</v>
      </c>
      <c r="E11" s="40"/>
      <c r="F11" s="29" t="s">
        <v>326</v>
      </c>
      <c r="G11" s="37" t="s">
        <v>17</v>
      </c>
      <c r="H11" s="31" t="s">
        <v>327</v>
      </c>
    </row>
    <row r="12" customFormat="false" ht="33" hidden="false" customHeight="true" outlineLevel="0" collapsed="false">
      <c r="A12" s="26" t="s">
        <v>328</v>
      </c>
      <c r="B12" s="27" t="s">
        <v>329</v>
      </c>
      <c r="C12" s="27" t="s">
        <v>330</v>
      </c>
      <c r="D12" s="27" t="s">
        <v>231</v>
      </c>
      <c r="E12" s="40"/>
      <c r="F12" s="29" t="s">
        <v>331</v>
      </c>
      <c r="G12" s="37" t="s">
        <v>17</v>
      </c>
      <c r="H12" s="31" t="s">
        <v>332</v>
      </c>
    </row>
    <row r="13" customFormat="false" ht="33" hidden="false" customHeight="true" outlineLevel="0" collapsed="false">
      <c r="A13" s="26" t="s">
        <v>333</v>
      </c>
      <c r="B13" s="27" t="s">
        <v>334</v>
      </c>
      <c r="C13" s="27" t="s">
        <v>335</v>
      </c>
      <c r="D13" s="27" t="s">
        <v>67</v>
      </c>
      <c r="E13" s="40"/>
      <c r="F13" s="29" t="s">
        <v>336</v>
      </c>
      <c r="G13" s="37" t="s">
        <v>15</v>
      </c>
      <c r="H13" s="31" t="s">
        <v>337</v>
      </c>
    </row>
  </sheetData>
  <mergeCells count="4">
    <mergeCell ref="A1:H1"/>
    <mergeCell ref="A2:H2"/>
    <mergeCell ref="A3:D3"/>
    <mergeCell ref="G3:H3"/>
  </mergeCells>
  <conditionalFormatting sqref="G5:G13">
    <cfRule type="expression" priority="2" aboveAverage="0" equalAverage="0" bottom="0" percent="0" rank="0" text="" dxfId="14">
      <formula>ISNUMBER(SEARCH("New",$G5))</formula>
    </cfRule>
    <cfRule type="expression" priority="3" aboveAverage="0" equalAverage="0" bottom="0" percent="0" rank="0" text="" dxfId="15">
      <formula>ISNUMBER(SEARCH("Modified",$G5))</formula>
    </cfRule>
    <cfRule type="expression" priority="4" aboveAverage="0" equalAverage="0" bottom="0" percent="0" rank="0" text="" dxfId="16">
      <formula>ISNUMBER(SEARCH("Removed",$G5))</formula>
    </cfRule>
    <cfRule type="expression" priority="5" aboveAverage="0" equalAverage="0" bottom="0" percent="0" rank="0" text="" dxfId="17">
      <formula>ISNUMBER(SEARCH("Unchanged",$G5))</formula>
    </cfRule>
    <cfRule type="expression" priority="6" aboveAverage="0" equalAverage="0" bottom="0" percent="0" rank="0" text="" dxfId="18">
      <formula>ISNUMBER(SEARCH("Renumbered",$G5))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3"/>
    <col collapsed="false" customWidth="true" hidden="false" outlineLevel="0" max="4" min="4" style="0" width="6"/>
    <col collapsed="false" customWidth="true" hidden="false" outlineLevel="0" max="5" min="5" style="0" width="50"/>
    <col collapsed="false" customWidth="true" hidden="false" outlineLevel="0" max="6" min="6" style="0" width="13"/>
    <col collapsed="false" customWidth="true" hidden="false" outlineLevel="0" max="7" min="7" style="0" width="44"/>
  </cols>
  <sheetData>
    <row r="1" customFormat="false" ht="24" hidden="false" customHeight="true" outlineLevel="0" collapsed="false">
      <c r="A1" s="19" t="s">
        <v>338</v>
      </c>
      <c r="B1" s="19"/>
      <c r="C1" s="19"/>
      <c r="D1" s="19"/>
      <c r="E1" s="19"/>
      <c r="F1" s="19"/>
      <c r="G1" s="19"/>
    </row>
    <row r="2" customFormat="false" ht="30" hidden="false" customHeight="true" outlineLevel="0" collapsed="false">
      <c r="A2" s="18" t="s">
        <v>339</v>
      </c>
      <c r="B2" s="18"/>
      <c r="C2" s="18"/>
      <c r="D2" s="18"/>
      <c r="E2" s="18"/>
      <c r="F2" s="18"/>
      <c r="G2" s="18"/>
    </row>
    <row r="3" customFormat="false" ht="15" hidden="false" customHeight="true" outlineLevel="0" collapsed="false">
      <c r="A3" s="20" t="s">
        <v>340</v>
      </c>
      <c r="B3" s="20"/>
      <c r="D3" s="21" t="s">
        <v>244</v>
      </c>
      <c r="E3" s="21"/>
      <c r="F3" s="22" t="s">
        <v>54</v>
      </c>
      <c r="G3" s="22"/>
    </row>
    <row r="4" customFormat="false" ht="31.5" hidden="false" customHeight="true" outlineLevel="0" collapsed="false">
      <c r="A4" s="23" t="s">
        <v>341</v>
      </c>
      <c r="B4" s="23" t="s">
        <v>342</v>
      </c>
      <c r="C4" s="32"/>
      <c r="D4" s="24" t="s">
        <v>341</v>
      </c>
      <c r="E4" s="24" t="s">
        <v>343</v>
      </c>
      <c r="F4" s="6" t="s">
        <v>9</v>
      </c>
      <c r="G4" s="6" t="s">
        <v>344</v>
      </c>
    </row>
    <row r="5" customFormat="false" ht="73.5" hidden="false" customHeight="true" outlineLevel="0" collapsed="false">
      <c r="A5" s="33" t="s">
        <v>345</v>
      </c>
      <c r="B5" s="27" t="s">
        <v>346</v>
      </c>
      <c r="C5" s="40"/>
      <c r="D5" s="36" t="s">
        <v>345</v>
      </c>
      <c r="E5" s="29" t="s">
        <v>347</v>
      </c>
      <c r="F5" s="37" t="s">
        <v>17</v>
      </c>
      <c r="G5" s="31" t="s">
        <v>348</v>
      </c>
    </row>
    <row r="6" customFormat="false" ht="60" hidden="false" customHeight="true" outlineLevel="0" collapsed="false">
      <c r="A6" s="33" t="s">
        <v>67</v>
      </c>
      <c r="B6" s="41" t="s">
        <v>19</v>
      </c>
      <c r="C6" s="40"/>
      <c r="D6" s="36" t="s">
        <v>349</v>
      </c>
      <c r="E6" s="29" t="s">
        <v>350</v>
      </c>
      <c r="F6" s="37" t="s">
        <v>19</v>
      </c>
      <c r="G6" s="31" t="s">
        <v>351</v>
      </c>
    </row>
    <row r="7" customFormat="false" ht="46.5" hidden="false" customHeight="true" outlineLevel="0" collapsed="false">
      <c r="A7" s="33" t="s">
        <v>349</v>
      </c>
      <c r="B7" s="27" t="s">
        <v>352</v>
      </c>
      <c r="C7" s="40"/>
      <c r="D7" s="36" t="s">
        <v>353</v>
      </c>
      <c r="E7" s="29" t="s">
        <v>352</v>
      </c>
      <c r="F7" s="37" t="s">
        <v>21</v>
      </c>
      <c r="G7" s="31" t="s">
        <v>354</v>
      </c>
    </row>
    <row r="8" customFormat="false" ht="46.5" hidden="false" customHeight="true" outlineLevel="0" collapsed="false">
      <c r="A8" s="33" t="s">
        <v>353</v>
      </c>
      <c r="B8" s="27" t="s">
        <v>355</v>
      </c>
      <c r="C8" s="40"/>
      <c r="D8" s="36" t="s">
        <v>216</v>
      </c>
      <c r="E8" s="29" t="s">
        <v>355</v>
      </c>
      <c r="F8" s="37" t="s">
        <v>21</v>
      </c>
      <c r="G8" s="31" t="s">
        <v>356</v>
      </c>
    </row>
    <row r="9" customFormat="false" ht="33" hidden="false" customHeight="true" outlineLevel="0" collapsed="false">
      <c r="A9" s="33" t="s">
        <v>216</v>
      </c>
      <c r="B9" s="27" t="s">
        <v>357</v>
      </c>
      <c r="C9" s="40"/>
      <c r="D9" s="36" t="s">
        <v>358</v>
      </c>
      <c r="E9" s="29" t="s">
        <v>357</v>
      </c>
      <c r="F9" s="37" t="s">
        <v>21</v>
      </c>
      <c r="G9" s="31" t="s">
        <v>359</v>
      </c>
    </row>
    <row r="10" customFormat="false" ht="33" hidden="false" customHeight="true" outlineLevel="0" collapsed="false">
      <c r="A10" s="33" t="s">
        <v>358</v>
      </c>
      <c r="B10" s="27" t="s">
        <v>360</v>
      </c>
      <c r="C10" s="40"/>
      <c r="D10" s="36" t="s">
        <v>361</v>
      </c>
      <c r="E10" s="29" t="s">
        <v>360</v>
      </c>
      <c r="F10" s="37" t="s">
        <v>21</v>
      </c>
      <c r="G10" s="31" t="s">
        <v>362</v>
      </c>
    </row>
    <row r="11" customFormat="false" ht="60" hidden="false" customHeight="true" outlineLevel="0" collapsed="false">
      <c r="A11" s="33" t="s">
        <v>361</v>
      </c>
      <c r="B11" s="27" t="s">
        <v>363</v>
      </c>
      <c r="C11" s="40"/>
      <c r="D11" s="36" t="s">
        <v>67</v>
      </c>
      <c r="E11" s="28" t="s">
        <v>66</v>
      </c>
      <c r="F11" s="37" t="s">
        <v>15</v>
      </c>
      <c r="G11" s="31" t="s">
        <v>364</v>
      </c>
    </row>
    <row r="12" customFormat="false" ht="87" hidden="false" customHeight="true" outlineLevel="0" collapsed="false">
      <c r="A12" s="33" t="s">
        <v>365</v>
      </c>
      <c r="B12" s="27" t="s">
        <v>366</v>
      </c>
      <c r="C12" s="40"/>
      <c r="D12" s="36" t="s">
        <v>67</v>
      </c>
      <c r="E12" s="28" t="s">
        <v>66</v>
      </c>
      <c r="F12" s="37" t="s">
        <v>15</v>
      </c>
      <c r="G12" s="31" t="s">
        <v>367</v>
      </c>
    </row>
    <row r="13" customFormat="false" ht="60" hidden="false" customHeight="true" outlineLevel="0" collapsed="false">
      <c r="A13" s="33" t="s">
        <v>231</v>
      </c>
      <c r="B13" s="27" t="s">
        <v>368</v>
      </c>
      <c r="C13" s="40"/>
      <c r="D13" s="36" t="s">
        <v>67</v>
      </c>
      <c r="E13" s="28" t="s">
        <v>66</v>
      </c>
      <c r="F13" s="37" t="s">
        <v>15</v>
      </c>
      <c r="G13" s="31" t="s">
        <v>369</v>
      </c>
    </row>
    <row r="14" customFormat="false" ht="60" hidden="false" customHeight="true" outlineLevel="0" collapsed="false">
      <c r="A14" s="33" t="s">
        <v>236</v>
      </c>
      <c r="B14" s="27" t="s">
        <v>370</v>
      </c>
      <c r="C14" s="40"/>
      <c r="D14" s="36" t="s">
        <v>67</v>
      </c>
      <c r="E14" s="28" t="s">
        <v>66</v>
      </c>
      <c r="F14" s="37" t="s">
        <v>15</v>
      </c>
      <c r="G14" s="31" t="s">
        <v>371</v>
      </c>
    </row>
    <row r="15" customFormat="false" ht="46.5" hidden="false" customHeight="true" outlineLevel="0" collapsed="false">
      <c r="A15" s="33" t="s">
        <v>372</v>
      </c>
      <c r="B15" s="27" t="s">
        <v>373</v>
      </c>
      <c r="C15" s="40"/>
      <c r="D15" s="36" t="s">
        <v>67</v>
      </c>
      <c r="E15" s="28" t="s">
        <v>66</v>
      </c>
      <c r="F15" s="37" t="s">
        <v>15</v>
      </c>
      <c r="G15" s="31" t="s">
        <v>371</v>
      </c>
    </row>
    <row r="16" customFormat="false" ht="46.5" hidden="false" customHeight="true" outlineLevel="0" collapsed="false">
      <c r="A16" s="33" t="s">
        <v>374</v>
      </c>
      <c r="B16" s="27" t="s">
        <v>375</v>
      </c>
      <c r="C16" s="40"/>
      <c r="D16" s="36" t="s">
        <v>67</v>
      </c>
      <c r="E16" s="28" t="s">
        <v>66</v>
      </c>
      <c r="F16" s="37" t="s">
        <v>15</v>
      </c>
      <c r="G16" s="31" t="s">
        <v>376</v>
      </c>
    </row>
    <row r="17" customFormat="false" ht="60" hidden="false" customHeight="true" outlineLevel="0" collapsed="false">
      <c r="A17" s="33" t="s">
        <v>377</v>
      </c>
      <c r="B17" s="27" t="s">
        <v>378</v>
      </c>
      <c r="C17" s="40"/>
      <c r="D17" s="36" t="s">
        <v>67</v>
      </c>
      <c r="E17" s="28" t="s">
        <v>66</v>
      </c>
      <c r="F17" s="37" t="s">
        <v>15</v>
      </c>
      <c r="G17" s="31" t="s">
        <v>379</v>
      </c>
    </row>
    <row r="18" customFormat="false" ht="46.5" hidden="false" customHeight="true" outlineLevel="0" collapsed="false">
      <c r="A18" s="33" t="s">
        <v>380</v>
      </c>
      <c r="B18" s="27" t="s">
        <v>381</v>
      </c>
      <c r="C18" s="40"/>
      <c r="D18" s="36" t="s">
        <v>67</v>
      </c>
      <c r="E18" s="28" t="s">
        <v>66</v>
      </c>
      <c r="F18" s="37" t="s">
        <v>15</v>
      </c>
      <c r="G18" s="31" t="s">
        <v>382</v>
      </c>
    </row>
    <row r="19" customFormat="false" ht="46.5" hidden="false" customHeight="true" outlineLevel="0" collapsed="false">
      <c r="A19" s="33" t="s">
        <v>383</v>
      </c>
      <c r="B19" s="27" t="s">
        <v>384</v>
      </c>
      <c r="C19" s="40"/>
      <c r="D19" s="36" t="s">
        <v>67</v>
      </c>
      <c r="E19" s="28" t="s">
        <v>66</v>
      </c>
      <c r="F19" s="37" t="s">
        <v>15</v>
      </c>
      <c r="G19" s="31" t="s">
        <v>385</v>
      </c>
    </row>
  </sheetData>
  <mergeCells count="5">
    <mergeCell ref="A1:G1"/>
    <mergeCell ref="A2:G2"/>
    <mergeCell ref="A3:B3"/>
    <mergeCell ref="D3:E3"/>
    <mergeCell ref="F3:G3"/>
  </mergeCells>
  <conditionalFormatting sqref="F5:F19">
    <cfRule type="expression" priority="2" aboveAverage="0" equalAverage="0" bottom="0" percent="0" rank="0" text="" dxfId="14">
      <formula>ISNUMBER(SEARCH("New",$F5))</formula>
    </cfRule>
    <cfRule type="expression" priority="3" aboveAverage="0" equalAverage="0" bottom="0" percent="0" rank="0" text="" dxfId="15">
      <formula>ISNUMBER(SEARCH("Modified",$F5))</formula>
    </cfRule>
    <cfRule type="expression" priority="4" aboveAverage="0" equalAverage="0" bottom="0" percent="0" rank="0" text="" dxfId="16">
      <formula>ISNUMBER(SEARCH("Removed",$F5))</formula>
    </cfRule>
    <cfRule type="expression" priority="5" aboveAverage="0" equalAverage="0" bottom="0" percent="0" rank="0" text="" dxfId="17">
      <formula>ISNUMBER(SEARCH("Unchanged",$F5))</formula>
    </cfRule>
    <cfRule type="expression" priority="6" aboveAverage="0" equalAverage="0" bottom="0" percent="0" rank="0" text="" dxfId="18">
      <formula>ISNUMBER(SEARCH("Renumbered",$F5))</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2026-10-14T13:32:04Z</dcterms:created>
  <dc:creator>openpyxl</dc:creator>
  <dc:description/>
  <dc:language>en-US</dc:language>
  <cp:lastModifiedBy/>
  <dcterms:modified xsi:type="dcterms:W3CDTF">2026-10-14T13:32:04Z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